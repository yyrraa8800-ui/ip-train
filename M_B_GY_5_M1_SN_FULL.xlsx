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iep7\Mohammad Almarzouq Dropbox\Mohammed Almarzouq\Fitness Work\Jismik website\Workouts Jismik\Men\Gym\Begginer\5 Days\Super New\M1\"/>
    </mc:Choice>
  </mc:AlternateContent>
  <xr:revisionPtr revIDLastSave="0" documentId="13_ncr:1_{EE58ECA2-58B4-463D-BBF2-18B27077210A}" xr6:coauthVersionLast="47" xr6:coauthVersionMax="47" xr10:uidLastSave="{00000000-0000-0000-0000-000000000000}"/>
  <bookViews>
    <workbookView xWindow="-98" yWindow="-98" windowWidth="21795" windowHeight="13875" xr2:uid="{00000000-000D-0000-FFFF-FFFF00000000}"/>
  </bookViews>
  <sheets>
    <sheet name="Mesocycle 1" sheetId="7" r:id="rId1"/>
    <sheet name="قاعدة البيانات" sheetId="16" state="hidden" r:id="rId2"/>
  </sheets>
  <externalReferences>
    <externalReference r:id="rId3"/>
  </externalReferences>
  <definedNames>
    <definedName name="Abduction" localSheetId="1">#REF!</definedName>
    <definedName name="Abduction">#REF!</definedName>
    <definedName name="Adduction" localSheetId="1">#REF!</definedName>
    <definedName name="Adduction">#REF!</definedName>
    <definedName name="Back" localSheetId="1">#REF!</definedName>
    <definedName name="Back">#REF!</definedName>
    <definedName name="Biceps" localSheetId="1">#REF!</definedName>
    <definedName name="Biceps">#REF!</definedName>
    <definedName name="Calves" localSheetId="1">#REF!</definedName>
    <definedName name="Calves">#REF!</definedName>
    <definedName name="Category">#REF!</definedName>
    <definedName name="Chest" localSheetId="1">#REF!</definedName>
    <definedName name="Chest">#REF!</definedName>
    <definedName name="Conditioning" localSheetId="1">#REF!</definedName>
    <definedName name="Conditioning">#REF!</definedName>
    <definedName name="Core" localSheetId="1">#REF!</definedName>
    <definedName name="Core">#REF!</definedName>
    <definedName name="Glutes" localSheetId="1">#REF!</definedName>
    <definedName name="Glutes">#REF!</definedName>
    <definedName name="Hamstrings" localSheetId="1">#REF!</definedName>
    <definedName name="Hamstrings">#REF!</definedName>
    <definedName name="Hinge" localSheetId="1">#REF!</definedName>
    <definedName name="Hinge">#REF!</definedName>
    <definedName name="Names">#REF!</definedName>
    <definedName name="Number" localSheetId="1">'[1]Exercise Videos'!$I$2:$I$18</definedName>
    <definedName name="Number">#REF!</definedName>
    <definedName name="Numbers">#REF!</definedName>
    <definedName name="Press" localSheetId="1">#REF!</definedName>
    <definedName name="Press">#REF!</definedName>
    <definedName name="Quads" localSheetId="1">#REF!</definedName>
    <definedName name="Quads">#REF!</definedName>
    <definedName name="Rest">#REF!</definedName>
    <definedName name="sa" localSheetId="1">#REF!</definedName>
    <definedName name="sa">#REF!</definedName>
    <definedName name="Shoulders" localSheetId="1">#REF!</definedName>
    <definedName name="Shoulders">#REF!</definedName>
    <definedName name="Squat" localSheetId="1">#REF!</definedName>
    <definedName name="Squat">#REF!</definedName>
    <definedName name="Traps" localSheetId="1">#REF!</definedName>
    <definedName name="Traps">#REF!</definedName>
    <definedName name="Triceps" localSheetId="1">#REF!</definedName>
    <definedName name="Tricep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T33" i="7" l="1"/>
  <c r="CQ33" i="7"/>
  <c r="CN33" i="7"/>
  <c r="CL33" i="7"/>
  <c r="CI33" i="7"/>
  <c r="CF33" i="7"/>
  <c r="CD33" i="7"/>
  <c r="CA33" i="7"/>
  <c r="BX33" i="7"/>
  <c r="BV33" i="7"/>
  <c r="BS33" i="7"/>
  <c r="BP33" i="7"/>
  <c r="BN33" i="7"/>
  <c r="BK33" i="7"/>
  <c r="BH33" i="7"/>
  <c r="BF33" i="7"/>
  <c r="BC33" i="7"/>
  <c r="AZ33" i="7"/>
  <c r="AX33" i="7"/>
  <c r="AU33" i="7"/>
  <c r="AR33" i="7"/>
  <c r="AP33" i="7"/>
  <c r="AM33" i="7"/>
  <c r="AJ33" i="7"/>
  <c r="AH33" i="7"/>
  <c r="AE33" i="7"/>
  <c r="AB33" i="7"/>
  <c r="Z33" i="7"/>
  <c r="W33" i="7"/>
  <c r="T33" i="7"/>
  <c r="R33" i="7"/>
  <c r="K33" i="7"/>
  <c r="H33" i="7"/>
  <c r="I33" i="7" s="1"/>
  <c r="F33" i="7"/>
  <c r="CT28" i="7"/>
  <c r="CQ28" i="7"/>
  <c r="CN28" i="7"/>
  <c r="CL28" i="7"/>
  <c r="CI28" i="7"/>
  <c r="CF28" i="7"/>
  <c r="CD28" i="7"/>
  <c r="CA28" i="7"/>
  <c r="BX28" i="7"/>
  <c r="BV28" i="7"/>
  <c r="BS28" i="7"/>
  <c r="BP28" i="7"/>
  <c r="BN28" i="7"/>
  <c r="BK28" i="7"/>
  <c r="BH28" i="7"/>
  <c r="BF28" i="7"/>
  <c r="BC28" i="7"/>
  <c r="AZ28" i="7"/>
  <c r="AX28" i="7"/>
  <c r="AU28" i="7"/>
  <c r="AR28" i="7"/>
  <c r="AP28" i="7"/>
  <c r="AM28" i="7"/>
  <c r="AJ28" i="7"/>
  <c r="AH28" i="7"/>
  <c r="AE28" i="7"/>
  <c r="AB28" i="7"/>
  <c r="Z28" i="7"/>
  <c r="W28" i="7"/>
  <c r="T28" i="7"/>
  <c r="R28" i="7"/>
  <c r="K28" i="7"/>
  <c r="H28" i="7"/>
  <c r="I28" i="7" s="1"/>
  <c r="F28" i="7"/>
  <c r="CT55" i="7"/>
  <c r="CQ55" i="7"/>
  <c r="CN55" i="7"/>
  <c r="CL55" i="7"/>
  <c r="CI55" i="7"/>
  <c r="CF55" i="7"/>
  <c r="CD55" i="7"/>
  <c r="CA55" i="7"/>
  <c r="BX55" i="7"/>
  <c r="BV55" i="7"/>
  <c r="BS55" i="7"/>
  <c r="BP55" i="7"/>
  <c r="BN55" i="7"/>
  <c r="BK55" i="7"/>
  <c r="BH55" i="7"/>
  <c r="BF55" i="7"/>
  <c r="BC55" i="7"/>
  <c r="AZ55" i="7"/>
  <c r="AX55" i="7"/>
  <c r="AU55" i="7"/>
  <c r="AR55" i="7"/>
  <c r="AP55" i="7"/>
  <c r="AM55" i="7"/>
  <c r="AJ55" i="7"/>
  <c r="AH55" i="7"/>
  <c r="AE55" i="7"/>
  <c r="AB55" i="7"/>
  <c r="Z55" i="7"/>
  <c r="W55" i="7"/>
  <c r="T55" i="7"/>
  <c r="R55" i="7"/>
  <c r="K55" i="7"/>
  <c r="H55" i="7"/>
  <c r="I55" i="7" s="1"/>
  <c r="F55" i="7"/>
  <c r="AI73" i="7"/>
  <c r="L72" i="7"/>
  <c r="BH48" i="7"/>
  <c r="CU82" i="7"/>
  <c r="CU80" i="7"/>
  <c r="CU78" i="7"/>
  <c r="CU77" i="7"/>
  <c r="CU76" i="7"/>
  <c r="CU75" i="7"/>
  <c r="CU74" i="7"/>
  <c r="CU73" i="7"/>
  <c r="CU72" i="7"/>
  <c r="CU71" i="7"/>
  <c r="CU70" i="7"/>
  <c r="CM82" i="7"/>
  <c r="CM80" i="7"/>
  <c r="CM78" i="7"/>
  <c r="CM77" i="7"/>
  <c r="CM76" i="7"/>
  <c r="CM75" i="7"/>
  <c r="CM74" i="7"/>
  <c r="CM73" i="7"/>
  <c r="CM72" i="7"/>
  <c r="CM71" i="7"/>
  <c r="CM70" i="7"/>
  <c r="CE82" i="7"/>
  <c r="CE80" i="7"/>
  <c r="CE78" i="7"/>
  <c r="CE77" i="7"/>
  <c r="CE76" i="7"/>
  <c r="CE75" i="7"/>
  <c r="CE74" i="7"/>
  <c r="CE73" i="7"/>
  <c r="CE72" i="7"/>
  <c r="CE71" i="7"/>
  <c r="CE70" i="7"/>
  <c r="BW82" i="7"/>
  <c r="BW80" i="7"/>
  <c r="BW78" i="7"/>
  <c r="BW77" i="7"/>
  <c r="BW76" i="7"/>
  <c r="BW75" i="7"/>
  <c r="BW74" i="7"/>
  <c r="BW73" i="7"/>
  <c r="BW72" i="7"/>
  <c r="BW71" i="7"/>
  <c r="BW70" i="7"/>
  <c r="BO82" i="7"/>
  <c r="BO80" i="7"/>
  <c r="BO78" i="7"/>
  <c r="BO77" i="7"/>
  <c r="BO76" i="7"/>
  <c r="BO75" i="7"/>
  <c r="BO74" i="7"/>
  <c r="BO73" i="7"/>
  <c r="BO72" i="7"/>
  <c r="BO71" i="7"/>
  <c r="BO70" i="7"/>
  <c r="BG82" i="7"/>
  <c r="BG80" i="7"/>
  <c r="BG78" i="7"/>
  <c r="BG77" i="7"/>
  <c r="BG76" i="7"/>
  <c r="BG75" i="7"/>
  <c r="BG74" i="7"/>
  <c r="BG73" i="7"/>
  <c r="BG72" i="7"/>
  <c r="BG71" i="7"/>
  <c r="BG70" i="7"/>
  <c r="AY82" i="7"/>
  <c r="AY80" i="7"/>
  <c r="AY78" i="7"/>
  <c r="AY77" i="7"/>
  <c r="AY76" i="7"/>
  <c r="AY75" i="7"/>
  <c r="AY74" i="7"/>
  <c r="AY73" i="7"/>
  <c r="AY72" i="7"/>
  <c r="AY71" i="7"/>
  <c r="AY70" i="7"/>
  <c r="AQ82" i="7"/>
  <c r="AQ80" i="7"/>
  <c r="AQ78" i="7"/>
  <c r="AQ77" i="7"/>
  <c r="AQ76" i="7"/>
  <c r="AQ75" i="7"/>
  <c r="AQ74" i="7"/>
  <c r="AQ73" i="7"/>
  <c r="AQ72" i="7"/>
  <c r="AQ71" i="7"/>
  <c r="AQ70" i="7"/>
  <c r="AI82" i="7"/>
  <c r="AI80" i="7"/>
  <c r="AI78" i="7"/>
  <c r="AI77" i="7"/>
  <c r="AI76" i="7"/>
  <c r="AI75" i="7"/>
  <c r="AI74" i="7"/>
  <c r="AI72" i="7"/>
  <c r="AI71" i="7"/>
  <c r="AI70" i="7"/>
  <c r="AA82" i="7"/>
  <c r="AA80" i="7"/>
  <c r="AA78" i="7"/>
  <c r="AA77" i="7"/>
  <c r="AA76" i="7"/>
  <c r="AA75" i="7"/>
  <c r="AA74" i="7"/>
  <c r="AA73" i="7"/>
  <c r="AA72" i="7"/>
  <c r="AA71" i="7"/>
  <c r="AA70" i="7"/>
  <c r="S82" i="7"/>
  <c r="S80" i="7"/>
  <c r="S78" i="7"/>
  <c r="S77" i="7"/>
  <c r="S76" i="7"/>
  <c r="S75" i="7"/>
  <c r="S74" i="7"/>
  <c r="S73" i="7"/>
  <c r="S72" i="7"/>
  <c r="S71" i="7"/>
  <c r="S70" i="7"/>
  <c r="L82" i="7"/>
  <c r="L80" i="7"/>
  <c r="L76" i="7"/>
  <c r="L75" i="7"/>
  <c r="L74" i="7"/>
  <c r="L73" i="7"/>
  <c r="L71" i="7"/>
  <c r="L70" i="7"/>
  <c r="CT53" i="7"/>
  <c r="CQ53" i="7"/>
  <c r="CN53" i="7"/>
  <c r="CL53" i="7"/>
  <c r="CI53" i="7"/>
  <c r="CF53" i="7"/>
  <c r="CD53" i="7"/>
  <c r="CA53" i="7"/>
  <c r="BX53" i="7"/>
  <c r="BV53" i="7"/>
  <c r="BS53" i="7"/>
  <c r="BP53" i="7"/>
  <c r="BN53" i="7"/>
  <c r="BK53" i="7"/>
  <c r="BH53" i="7"/>
  <c r="BF53" i="7"/>
  <c r="BC53" i="7"/>
  <c r="AZ53" i="7"/>
  <c r="AX53" i="7"/>
  <c r="AU53" i="7"/>
  <c r="AR53" i="7"/>
  <c r="AP53" i="7"/>
  <c r="AM53" i="7"/>
  <c r="AJ53" i="7"/>
  <c r="AH53" i="7"/>
  <c r="AE53" i="7"/>
  <c r="AB53" i="7"/>
  <c r="Z53" i="7"/>
  <c r="W53" i="7"/>
  <c r="T53" i="7"/>
  <c r="R53" i="7"/>
  <c r="K53" i="7"/>
  <c r="H53" i="7"/>
  <c r="I53" i="7" s="1"/>
  <c r="CT44" i="7"/>
  <c r="CQ44" i="7"/>
  <c r="CN44" i="7"/>
  <c r="CL44" i="7"/>
  <c r="CI44" i="7"/>
  <c r="CF44" i="7"/>
  <c r="CD44" i="7"/>
  <c r="CA44" i="7"/>
  <c r="BX44" i="7"/>
  <c r="BV44" i="7"/>
  <c r="BS44" i="7"/>
  <c r="BP44" i="7"/>
  <c r="BN44" i="7"/>
  <c r="BK44" i="7"/>
  <c r="BH44" i="7"/>
  <c r="BF44" i="7"/>
  <c r="BC44" i="7"/>
  <c r="AZ44" i="7"/>
  <c r="AX44" i="7"/>
  <c r="AU44" i="7"/>
  <c r="AR44" i="7"/>
  <c r="AP44" i="7"/>
  <c r="AM44" i="7"/>
  <c r="AJ44" i="7"/>
  <c r="AH44" i="7"/>
  <c r="AE44" i="7"/>
  <c r="AB44" i="7"/>
  <c r="Z44" i="7"/>
  <c r="W44" i="7"/>
  <c r="T44" i="7"/>
  <c r="R44" i="7"/>
  <c r="K44" i="7"/>
  <c r="H44" i="7"/>
  <c r="I44" i="7" s="1"/>
  <c r="CT43" i="7"/>
  <c r="CQ43" i="7"/>
  <c r="CN43" i="7"/>
  <c r="CL43" i="7"/>
  <c r="CI43" i="7"/>
  <c r="CF43" i="7"/>
  <c r="CD43" i="7"/>
  <c r="CA43" i="7"/>
  <c r="BX43" i="7"/>
  <c r="BV43" i="7"/>
  <c r="BS43" i="7"/>
  <c r="BP43" i="7"/>
  <c r="BN43" i="7"/>
  <c r="BK43" i="7"/>
  <c r="BH43" i="7"/>
  <c r="BF43" i="7"/>
  <c r="BC43" i="7"/>
  <c r="AZ43" i="7"/>
  <c r="AX43" i="7"/>
  <c r="AU43" i="7"/>
  <c r="AR43" i="7"/>
  <c r="AP43" i="7"/>
  <c r="AM43" i="7"/>
  <c r="AJ43" i="7"/>
  <c r="AH43" i="7"/>
  <c r="AE43" i="7"/>
  <c r="AB43" i="7"/>
  <c r="Z43" i="7"/>
  <c r="W43" i="7"/>
  <c r="T43" i="7"/>
  <c r="R43" i="7"/>
  <c r="K43" i="7"/>
  <c r="H43" i="7"/>
  <c r="I43" i="7" s="1"/>
  <c r="CT16" i="7"/>
  <c r="CQ16" i="7"/>
  <c r="CN16" i="7"/>
  <c r="CL16" i="7"/>
  <c r="CI16" i="7"/>
  <c r="CF16" i="7"/>
  <c r="CD16" i="7"/>
  <c r="CA16" i="7"/>
  <c r="BX16" i="7"/>
  <c r="BV16" i="7"/>
  <c r="BS16" i="7"/>
  <c r="BP16" i="7"/>
  <c r="BN16" i="7"/>
  <c r="BK16" i="7"/>
  <c r="BH16" i="7"/>
  <c r="BF16" i="7"/>
  <c r="BC16" i="7"/>
  <c r="AZ16" i="7"/>
  <c r="AX16" i="7"/>
  <c r="AU16" i="7"/>
  <c r="AR16" i="7"/>
  <c r="AP16" i="7"/>
  <c r="AM16" i="7"/>
  <c r="AJ16" i="7"/>
  <c r="AH16" i="7"/>
  <c r="AE16" i="7"/>
  <c r="AB16" i="7"/>
  <c r="Z16" i="7"/>
  <c r="W16" i="7"/>
  <c r="T16" i="7"/>
  <c r="R16" i="7"/>
  <c r="K16" i="7"/>
  <c r="H16" i="7"/>
  <c r="I16" i="7" s="1"/>
  <c r="CL57" i="7"/>
  <c r="CL56" i="7"/>
  <c r="CL54" i="7"/>
  <c r="CL52" i="7"/>
  <c r="CL48" i="7"/>
  <c r="CL47" i="7"/>
  <c r="CL46" i="7"/>
  <c r="CL45" i="7"/>
  <c r="CL37" i="7"/>
  <c r="CL36" i="7"/>
  <c r="CL35" i="7"/>
  <c r="CL34" i="7"/>
  <c r="CL32" i="7"/>
  <c r="CL27" i="7"/>
  <c r="CL26" i="7"/>
  <c r="CL25" i="7"/>
  <c r="CL24" i="7"/>
  <c r="CL23" i="7"/>
  <c r="CL15" i="7"/>
  <c r="CL17" i="7"/>
  <c r="CL18" i="7"/>
  <c r="CL19" i="7"/>
  <c r="CL14" i="7"/>
  <c r="CD57" i="7"/>
  <c r="CD56" i="7"/>
  <c r="CD54" i="7"/>
  <c r="CD52" i="7"/>
  <c r="CD48" i="7"/>
  <c r="CD47" i="7"/>
  <c r="CD46" i="7"/>
  <c r="CD45" i="7"/>
  <c r="CD37" i="7"/>
  <c r="CD36" i="7"/>
  <c r="CD35" i="7"/>
  <c r="CD34" i="7"/>
  <c r="CD32" i="7"/>
  <c r="CD27" i="7"/>
  <c r="CD26" i="7"/>
  <c r="CD25" i="7"/>
  <c r="CD24" i="7"/>
  <c r="CD23" i="7"/>
  <c r="CD15" i="7"/>
  <c r="CD17" i="7"/>
  <c r="CD18" i="7"/>
  <c r="CD19" i="7"/>
  <c r="CD14" i="7"/>
  <c r="BV57" i="7"/>
  <c r="BV56" i="7"/>
  <c r="BV54" i="7"/>
  <c r="BV52" i="7"/>
  <c r="BV48" i="7"/>
  <c r="BV47" i="7"/>
  <c r="BV46" i="7"/>
  <c r="BV45" i="7"/>
  <c r="BV37" i="7"/>
  <c r="BV36" i="7"/>
  <c r="BV35" i="7"/>
  <c r="BV34" i="7"/>
  <c r="BV32" i="7"/>
  <c r="BV27" i="7"/>
  <c r="BV26" i="7"/>
  <c r="BV25" i="7"/>
  <c r="BV24" i="7"/>
  <c r="BV23" i="7"/>
  <c r="BV15" i="7"/>
  <c r="BV17" i="7"/>
  <c r="BV18" i="7"/>
  <c r="BV19" i="7"/>
  <c r="BV14" i="7"/>
  <c r="BN57" i="7"/>
  <c r="BN56" i="7"/>
  <c r="BN54" i="7"/>
  <c r="BN52" i="7"/>
  <c r="BN48" i="7"/>
  <c r="BN47" i="7"/>
  <c r="BN46" i="7"/>
  <c r="BN45" i="7"/>
  <c r="BN37" i="7"/>
  <c r="BN36" i="7"/>
  <c r="BN35" i="7"/>
  <c r="BN34" i="7"/>
  <c r="BN32" i="7"/>
  <c r="BN27" i="7"/>
  <c r="BN26" i="7"/>
  <c r="BN25" i="7"/>
  <c r="BN24" i="7"/>
  <c r="BN23" i="7"/>
  <c r="BN15" i="7"/>
  <c r="BN17" i="7"/>
  <c r="BN18" i="7"/>
  <c r="BN19" i="7"/>
  <c r="BN14" i="7"/>
  <c r="BF48" i="7"/>
  <c r="BF47" i="7"/>
  <c r="BF46" i="7"/>
  <c r="BF45" i="7"/>
  <c r="BF57" i="7"/>
  <c r="BF56" i="7"/>
  <c r="BF54" i="7"/>
  <c r="BF52" i="7"/>
  <c r="BF37" i="7"/>
  <c r="BF36" i="7"/>
  <c r="BF35" i="7"/>
  <c r="BF34" i="7"/>
  <c r="BF32" i="7"/>
  <c r="BF27" i="7"/>
  <c r="BF26" i="7"/>
  <c r="BF25" i="7"/>
  <c r="BF24" i="7"/>
  <c r="BF23" i="7"/>
  <c r="BF15" i="7"/>
  <c r="BF17" i="7"/>
  <c r="BF18" i="7"/>
  <c r="BF19" i="7"/>
  <c r="BF14" i="7"/>
  <c r="CN57" i="7"/>
  <c r="CN56" i="7"/>
  <c r="CN54" i="7"/>
  <c r="CN52" i="7"/>
  <c r="CN48" i="7"/>
  <c r="CN47" i="7"/>
  <c r="CN46" i="7"/>
  <c r="CN45" i="7"/>
  <c r="CN37" i="7"/>
  <c r="CN36" i="7"/>
  <c r="CN35" i="7"/>
  <c r="CN34" i="7"/>
  <c r="CN32" i="7"/>
  <c r="CN27" i="7"/>
  <c r="CN26" i="7"/>
  <c r="CN25" i="7"/>
  <c r="CN24" i="7"/>
  <c r="CN23" i="7"/>
  <c r="CN15" i="7"/>
  <c r="CN17" i="7"/>
  <c r="CN18" i="7"/>
  <c r="CN19" i="7"/>
  <c r="CN14" i="7"/>
  <c r="CF57" i="7"/>
  <c r="CF56" i="7"/>
  <c r="CF54" i="7"/>
  <c r="CF52" i="7"/>
  <c r="CF48" i="7"/>
  <c r="CF47" i="7"/>
  <c r="CF46" i="7"/>
  <c r="CF45" i="7"/>
  <c r="CF37" i="7"/>
  <c r="CF36" i="7"/>
  <c r="CF35" i="7"/>
  <c r="CF34" i="7"/>
  <c r="CF32" i="7"/>
  <c r="CF27" i="7"/>
  <c r="CF26" i="7"/>
  <c r="CF25" i="7"/>
  <c r="CF24" i="7"/>
  <c r="CF23" i="7"/>
  <c r="CF15" i="7"/>
  <c r="CF17" i="7"/>
  <c r="CF18" i="7"/>
  <c r="CF19" i="7"/>
  <c r="CF14" i="7"/>
  <c r="BX57" i="7"/>
  <c r="BX56" i="7"/>
  <c r="BX54" i="7"/>
  <c r="BX52" i="7"/>
  <c r="BX48" i="7"/>
  <c r="BX47" i="7"/>
  <c r="BX46" i="7"/>
  <c r="BX45" i="7"/>
  <c r="BX37" i="7"/>
  <c r="BX36" i="7"/>
  <c r="BX35" i="7"/>
  <c r="BX34" i="7"/>
  <c r="BX32" i="7"/>
  <c r="BX27" i="7"/>
  <c r="BX26" i="7"/>
  <c r="BX25" i="7"/>
  <c r="BX24" i="7"/>
  <c r="BX23" i="7"/>
  <c r="BX15" i="7"/>
  <c r="BX17" i="7"/>
  <c r="BX18" i="7"/>
  <c r="BX19" i="7"/>
  <c r="BX14" i="7"/>
  <c r="BP57" i="7"/>
  <c r="BP56" i="7"/>
  <c r="BP54" i="7"/>
  <c r="BP52" i="7"/>
  <c r="BP48" i="7"/>
  <c r="BP47" i="7"/>
  <c r="BP46" i="7"/>
  <c r="BP45" i="7"/>
  <c r="BP37" i="7"/>
  <c r="BP36" i="7"/>
  <c r="BP35" i="7"/>
  <c r="BP34" i="7"/>
  <c r="BP32" i="7"/>
  <c r="BP27" i="7"/>
  <c r="BP26" i="7"/>
  <c r="BP25" i="7"/>
  <c r="BP24" i="7"/>
  <c r="BP23" i="7"/>
  <c r="BP15" i="7"/>
  <c r="BP17" i="7"/>
  <c r="BP18" i="7"/>
  <c r="BP19" i="7"/>
  <c r="BP14" i="7"/>
  <c r="CQ57" i="7"/>
  <c r="CQ56" i="7"/>
  <c r="CQ54" i="7"/>
  <c r="CQ52" i="7"/>
  <c r="CQ48" i="7"/>
  <c r="CQ47" i="7"/>
  <c r="CQ46" i="7"/>
  <c r="CQ45" i="7"/>
  <c r="CQ37" i="7"/>
  <c r="CQ36" i="7"/>
  <c r="CQ35" i="7"/>
  <c r="CQ34" i="7"/>
  <c r="CQ32" i="7"/>
  <c r="CQ27" i="7"/>
  <c r="CQ26" i="7"/>
  <c r="CQ25" i="7"/>
  <c r="CQ24" i="7"/>
  <c r="CQ23" i="7"/>
  <c r="CQ15" i="7"/>
  <c r="CQ17" i="7"/>
  <c r="CQ18" i="7"/>
  <c r="CQ19" i="7"/>
  <c r="CQ14" i="7"/>
  <c r="CI57" i="7"/>
  <c r="CI56" i="7"/>
  <c r="CI54" i="7"/>
  <c r="CI52" i="7"/>
  <c r="CI32" i="7"/>
  <c r="CI47" i="7"/>
  <c r="CI46" i="7"/>
  <c r="CI45" i="7"/>
  <c r="CI48" i="7"/>
  <c r="CI37" i="7"/>
  <c r="CI36" i="7"/>
  <c r="CI35" i="7"/>
  <c r="CI34" i="7"/>
  <c r="CI27" i="7"/>
  <c r="CI26" i="7"/>
  <c r="CI25" i="7"/>
  <c r="CI24" i="7"/>
  <c r="CI23" i="7"/>
  <c r="CI19" i="7"/>
  <c r="CI15" i="7"/>
  <c r="CI17" i="7"/>
  <c r="CI18" i="7"/>
  <c r="CI14" i="7"/>
  <c r="CA57" i="7"/>
  <c r="CA56" i="7"/>
  <c r="CA54" i="7"/>
  <c r="CA52" i="7"/>
  <c r="CA48" i="7"/>
  <c r="CA47" i="7"/>
  <c r="CA46" i="7"/>
  <c r="CA45" i="7"/>
  <c r="CA27" i="7"/>
  <c r="CA26" i="7"/>
  <c r="CA25" i="7"/>
  <c r="CA24" i="7"/>
  <c r="CA23" i="7"/>
  <c r="CA15" i="7"/>
  <c r="CA17" i="7"/>
  <c r="CA18" i="7"/>
  <c r="CA19" i="7"/>
  <c r="CA14" i="7"/>
  <c r="BS57" i="7"/>
  <c r="BS56" i="7"/>
  <c r="BS54" i="7"/>
  <c r="BS52" i="7"/>
  <c r="BS48" i="7"/>
  <c r="BS47" i="7"/>
  <c r="BS46" i="7"/>
  <c r="BS45" i="7"/>
  <c r="BS37" i="7"/>
  <c r="BS36" i="7"/>
  <c r="BS35" i="7"/>
  <c r="BS34" i="7"/>
  <c r="BS32" i="7"/>
  <c r="BS27" i="7"/>
  <c r="BS26" i="7"/>
  <c r="BS25" i="7"/>
  <c r="BS24" i="7"/>
  <c r="BS23" i="7"/>
  <c r="BS15" i="7"/>
  <c r="BS17" i="7"/>
  <c r="BS18" i="7"/>
  <c r="BS19" i="7"/>
  <c r="BS14" i="7"/>
  <c r="BK57" i="7"/>
  <c r="BK56" i="7"/>
  <c r="BK54" i="7"/>
  <c r="BK52" i="7"/>
  <c r="BK48" i="7"/>
  <c r="BK47" i="7"/>
  <c r="BK46" i="7"/>
  <c r="BK45" i="7"/>
  <c r="BK37" i="7"/>
  <c r="BK36" i="7"/>
  <c r="BK35" i="7"/>
  <c r="BK34" i="7"/>
  <c r="BK32" i="7"/>
  <c r="BK27" i="7"/>
  <c r="BK26" i="7"/>
  <c r="BK25" i="7"/>
  <c r="BK24" i="7"/>
  <c r="BK23" i="7"/>
  <c r="BK15" i="7"/>
  <c r="BK17" i="7"/>
  <c r="BK18" i="7"/>
  <c r="BK19" i="7"/>
  <c r="BK14" i="7"/>
  <c r="BH57" i="7"/>
  <c r="BH56" i="7"/>
  <c r="BH54" i="7"/>
  <c r="BH52" i="7"/>
  <c r="BH47" i="7"/>
  <c r="BH46" i="7"/>
  <c r="BH45" i="7"/>
  <c r="BH37" i="7"/>
  <c r="BH36" i="7"/>
  <c r="BH35" i="7"/>
  <c r="BH34" i="7"/>
  <c r="BH32" i="7"/>
  <c r="BH27" i="7"/>
  <c r="BH26" i="7"/>
  <c r="BH25" i="7"/>
  <c r="BH24" i="7"/>
  <c r="BH23" i="7"/>
  <c r="BH15" i="7"/>
  <c r="BH17" i="7"/>
  <c r="BH18" i="7"/>
  <c r="BH19" i="7"/>
  <c r="BH14" i="7"/>
  <c r="CA37" i="7"/>
  <c r="CA36" i="7"/>
  <c r="CA35" i="7"/>
  <c r="CA34" i="7"/>
  <c r="CA32" i="7"/>
  <c r="CT27" i="7"/>
  <c r="BC27" i="7"/>
  <c r="AZ27" i="7"/>
  <c r="AX27" i="7"/>
  <c r="AU27" i="7"/>
  <c r="AR27" i="7"/>
  <c r="AP27" i="7"/>
  <c r="AM27" i="7"/>
  <c r="AJ27" i="7"/>
  <c r="AH27" i="7"/>
  <c r="AE27" i="7"/>
  <c r="AB27" i="7"/>
  <c r="Z27" i="7"/>
  <c r="W27" i="7"/>
  <c r="T27" i="7"/>
  <c r="R27" i="7"/>
  <c r="K27" i="7"/>
  <c r="H27" i="7"/>
  <c r="I27" i="7" s="1"/>
  <c r="CE85" i="7" l="1"/>
  <c r="CU85" i="7"/>
  <c r="BO85" i="7"/>
  <c r="S85" i="7"/>
  <c r="BW85" i="7"/>
  <c r="BG85" i="7"/>
  <c r="AY85" i="7"/>
  <c r="AA85" i="7"/>
  <c r="CM85" i="7"/>
  <c r="AI85" i="7"/>
  <c r="AQ85" i="7"/>
  <c r="CU84" i="7"/>
  <c r="CM84" i="7"/>
  <c r="CE84" i="7"/>
  <c r="BW84" i="7"/>
  <c r="BO84" i="7"/>
  <c r="BG84" i="7"/>
  <c r="AY84" i="7"/>
  <c r="AQ84" i="7"/>
  <c r="AI84" i="7"/>
  <c r="AA84" i="7"/>
  <c r="S84" i="7"/>
  <c r="L78" i="7"/>
  <c r="L77" i="7"/>
  <c r="L85" i="7" l="1"/>
  <c r="L84" i="7"/>
  <c r="CT57" i="7" l="1"/>
  <c r="BC57" i="7"/>
  <c r="AZ57" i="7"/>
  <c r="AX57" i="7"/>
  <c r="AU57" i="7"/>
  <c r="AR57" i="7"/>
  <c r="AP57" i="7"/>
  <c r="AM57" i="7"/>
  <c r="AJ57" i="7"/>
  <c r="AH57" i="7"/>
  <c r="AE57" i="7"/>
  <c r="AB57" i="7"/>
  <c r="Z57" i="7"/>
  <c r="W57" i="7"/>
  <c r="T57" i="7"/>
  <c r="R57" i="7"/>
  <c r="K57" i="7"/>
  <c r="H57" i="7"/>
  <c r="I57" i="7" s="1"/>
  <c r="CT56" i="7"/>
  <c r="BC56" i="7"/>
  <c r="AZ56" i="7"/>
  <c r="AX56" i="7"/>
  <c r="AU56" i="7"/>
  <c r="AR56" i="7"/>
  <c r="AP56" i="7"/>
  <c r="AM56" i="7"/>
  <c r="AJ56" i="7"/>
  <c r="AH56" i="7"/>
  <c r="AE56" i="7"/>
  <c r="AB56" i="7"/>
  <c r="Z56" i="7"/>
  <c r="W56" i="7"/>
  <c r="T56" i="7"/>
  <c r="R56" i="7"/>
  <c r="K56" i="7"/>
  <c r="H56" i="7"/>
  <c r="I56" i="7" s="1"/>
  <c r="CT54" i="7"/>
  <c r="BC54" i="7"/>
  <c r="AZ54" i="7"/>
  <c r="AX54" i="7"/>
  <c r="AU54" i="7"/>
  <c r="AR54" i="7"/>
  <c r="AP54" i="7"/>
  <c r="AM54" i="7"/>
  <c r="AJ54" i="7"/>
  <c r="AH54" i="7"/>
  <c r="AE54" i="7"/>
  <c r="AB54" i="7"/>
  <c r="Z54" i="7"/>
  <c r="W54" i="7"/>
  <c r="T54" i="7"/>
  <c r="R54" i="7"/>
  <c r="K54" i="7"/>
  <c r="H54" i="7"/>
  <c r="I54" i="7" s="1"/>
  <c r="CT52" i="7"/>
  <c r="BC52" i="7"/>
  <c r="AZ52" i="7"/>
  <c r="AX52" i="7"/>
  <c r="AU52" i="7"/>
  <c r="AR52" i="7"/>
  <c r="AP52" i="7"/>
  <c r="AM52" i="7"/>
  <c r="AJ52" i="7"/>
  <c r="AH52" i="7"/>
  <c r="AE52" i="7"/>
  <c r="AB52" i="7"/>
  <c r="Z52" i="7"/>
  <c r="W52" i="7"/>
  <c r="T52" i="7"/>
  <c r="R52" i="7"/>
  <c r="K52" i="7"/>
  <c r="H52" i="7"/>
  <c r="I52" i="7" s="1"/>
  <c r="CT32" i="7"/>
  <c r="BC32" i="7"/>
  <c r="AZ32" i="7"/>
  <c r="AX32" i="7"/>
  <c r="AU32" i="7"/>
  <c r="AR32" i="7"/>
  <c r="AP32" i="7"/>
  <c r="AM32" i="7"/>
  <c r="AJ32" i="7"/>
  <c r="AH32" i="7"/>
  <c r="AE32" i="7"/>
  <c r="AB32" i="7"/>
  <c r="Z32" i="7"/>
  <c r="W32" i="7"/>
  <c r="T32" i="7"/>
  <c r="R32" i="7"/>
  <c r="K32" i="7"/>
  <c r="H32" i="7"/>
  <c r="I32" i="7" s="1"/>
  <c r="BC37" i="7"/>
  <c r="BC36" i="7"/>
  <c r="BC35" i="7"/>
  <c r="BC34" i="7"/>
  <c r="BC26" i="7"/>
  <c r="BC25" i="7"/>
  <c r="BC24" i="7"/>
  <c r="BC23" i="7"/>
  <c r="BC48" i="7"/>
  <c r="BC47" i="7"/>
  <c r="BC46" i="7"/>
  <c r="BC45" i="7"/>
  <c r="BC15" i="7"/>
  <c r="BC17" i="7"/>
  <c r="BC18" i="7"/>
  <c r="BC19" i="7"/>
  <c r="BC14" i="7"/>
  <c r="AZ37" i="7"/>
  <c r="AZ36" i="7"/>
  <c r="AZ35" i="7"/>
  <c r="AZ34" i="7"/>
  <c r="AZ26" i="7"/>
  <c r="AZ25" i="7"/>
  <c r="AZ24" i="7"/>
  <c r="AZ23" i="7"/>
  <c r="AZ48" i="7"/>
  <c r="AZ47" i="7"/>
  <c r="AZ46" i="7"/>
  <c r="AZ45" i="7"/>
  <c r="AZ15" i="7"/>
  <c r="AZ17" i="7"/>
  <c r="AZ18" i="7"/>
  <c r="AZ19" i="7"/>
  <c r="AZ14" i="7"/>
  <c r="AX37" i="7"/>
  <c r="AX36" i="7"/>
  <c r="AX35" i="7"/>
  <c r="AX34" i="7"/>
  <c r="AX26" i="7"/>
  <c r="AX25" i="7"/>
  <c r="AX24" i="7"/>
  <c r="AX23" i="7"/>
  <c r="AX48" i="7"/>
  <c r="AX47" i="7"/>
  <c r="AX46" i="7"/>
  <c r="AX45" i="7"/>
  <c r="AX15" i="7"/>
  <c r="AX17" i="7"/>
  <c r="AX18" i="7"/>
  <c r="AX19" i="7"/>
  <c r="AX14" i="7"/>
  <c r="AU15" i="7"/>
  <c r="AM15" i="7"/>
  <c r="AE15" i="7"/>
  <c r="W15" i="7"/>
  <c r="AU48" i="7"/>
  <c r="AU47" i="7"/>
  <c r="AU46" i="7"/>
  <c r="AU45" i="7"/>
  <c r="AU37" i="7"/>
  <c r="AU36" i="7"/>
  <c r="AU35" i="7"/>
  <c r="AU34" i="7"/>
  <c r="AU26" i="7"/>
  <c r="AU25" i="7"/>
  <c r="AU24" i="7"/>
  <c r="AU23" i="7"/>
  <c r="AU17" i="7"/>
  <c r="AU18" i="7"/>
  <c r="AU19" i="7"/>
  <c r="AM48" i="7"/>
  <c r="AM47" i="7"/>
  <c r="AM46" i="7"/>
  <c r="AM45" i="7"/>
  <c r="AM37" i="7"/>
  <c r="AM36" i="7"/>
  <c r="AM35" i="7"/>
  <c r="AM34" i="7"/>
  <c r="AM26" i="7"/>
  <c r="AM25" i="7"/>
  <c r="AM24" i="7"/>
  <c r="AM23" i="7"/>
  <c r="AM17" i="7"/>
  <c r="AM18" i="7"/>
  <c r="AM19" i="7"/>
  <c r="AE48" i="7"/>
  <c r="AE47" i="7"/>
  <c r="AE46" i="7"/>
  <c r="AE45" i="7"/>
  <c r="AE37" i="7"/>
  <c r="AE36" i="7"/>
  <c r="AE35" i="7"/>
  <c r="AE34" i="7"/>
  <c r="AE26" i="7"/>
  <c r="AE25" i="7"/>
  <c r="AE24" i="7"/>
  <c r="AE23" i="7"/>
  <c r="AE17" i="7"/>
  <c r="AE18" i="7"/>
  <c r="AE19" i="7"/>
  <c r="W45" i="7"/>
  <c r="W34" i="7"/>
  <c r="W23" i="7"/>
  <c r="W48" i="7"/>
  <c r="W47" i="7"/>
  <c r="W46" i="7"/>
  <c r="W37" i="7"/>
  <c r="W36" i="7"/>
  <c r="W35" i="7"/>
  <c r="W26" i="7"/>
  <c r="W25" i="7"/>
  <c r="W24" i="7"/>
  <c r="W17" i="7"/>
  <c r="W18" i="7"/>
  <c r="W19" i="7"/>
  <c r="AU14" i="7"/>
  <c r="AM14" i="7"/>
  <c r="AE14" i="7"/>
  <c r="W14" i="7"/>
  <c r="CT48" i="7"/>
  <c r="CT47" i="7"/>
  <c r="CT46" i="7"/>
  <c r="CT45" i="7"/>
  <c r="CT37" i="7"/>
  <c r="CT36" i="7"/>
  <c r="CT35" i="7"/>
  <c r="CT34" i="7"/>
  <c r="CT26" i="7"/>
  <c r="CT25" i="7"/>
  <c r="CT24" i="7"/>
  <c r="CT23" i="7"/>
  <c r="CT15" i="7"/>
  <c r="CT17" i="7"/>
  <c r="CT18" i="7"/>
  <c r="CT19" i="7"/>
  <c r="CT14" i="7"/>
  <c r="AR48" i="7"/>
  <c r="AR47" i="7"/>
  <c r="AR46" i="7"/>
  <c r="AR45" i="7"/>
  <c r="AR37" i="7"/>
  <c r="AR36" i="7"/>
  <c r="AR35" i="7"/>
  <c r="AR34" i="7"/>
  <c r="AR26" i="7"/>
  <c r="AR25" i="7"/>
  <c r="AR24" i="7"/>
  <c r="AR23" i="7"/>
  <c r="AR15" i="7"/>
  <c r="AR17" i="7"/>
  <c r="AR18" i="7"/>
  <c r="AR19" i="7"/>
  <c r="AR14" i="7"/>
  <c r="AJ37" i="7"/>
  <c r="AJ36" i="7"/>
  <c r="AJ35" i="7"/>
  <c r="AJ34" i="7"/>
  <c r="AJ26" i="7"/>
  <c r="AJ25" i="7"/>
  <c r="AJ24" i="7"/>
  <c r="AJ23" i="7"/>
  <c r="AJ48" i="7"/>
  <c r="AJ47" i="7"/>
  <c r="AJ46" i="7"/>
  <c r="AJ45" i="7"/>
  <c r="AJ15" i="7"/>
  <c r="AJ17" i="7"/>
  <c r="AJ18" i="7"/>
  <c r="AJ19" i="7"/>
  <c r="AJ14" i="7"/>
  <c r="AP48" i="7"/>
  <c r="AP47" i="7"/>
  <c r="AP46" i="7"/>
  <c r="AP45" i="7"/>
  <c r="AP37" i="7"/>
  <c r="AP36" i="7"/>
  <c r="AP35" i="7"/>
  <c r="AP34" i="7"/>
  <c r="AP26" i="7"/>
  <c r="AP25" i="7"/>
  <c r="AP24" i="7"/>
  <c r="AP23" i="7"/>
  <c r="AP15" i="7"/>
  <c r="AP17" i="7"/>
  <c r="AP18" i="7"/>
  <c r="AP19" i="7"/>
  <c r="AP14" i="7"/>
  <c r="AH48" i="7"/>
  <c r="AH47" i="7"/>
  <c r="AH46" i="7"/>
  <c r="AH45" i="7"/>
  <c r="AH37" i="7"/>
  <c r="AH36" i="7"/>
  <c r="AH35" i="7"/>
  <c r="AH34" i="7"/>
  <c r="AH26" i="7"/>
  <c r="AH25" i="7"/>
  <c r="AH24" i="7"/>
  <c r="AH23" i="7"/>
  <c r="AH15" i="7"/>
  <c r="AH17" i="7"/>
  <c r="AH18" i="7"/>
  <c r="AH19" i="7"/>
  <c r="AH14" i="7"/>
  <c r="Z48" i="7"/>
  <c r="Z47" i="7"/>
  <c r="Z46" i="7"/>
  <c r="Z45" i="7"/>
  <c r="Z37" i="7"/>
  <c r="Z36" i="7"/>
  <c r="Z35" i="7"/>
  <c r="Z34" i="7"/>
  <c r="Z26" i="7"/>
  <c r="Z25" i="7"/>
  <c r="Z24" i="7"/>
  <c r="Z23" i="7"/>
  <c r="Z15" i="7"/>
  <c r="Z17" i="7"/>
  <c r="Z18" i="7"/>
  <c r="Z19" i="7"/>
  <c r="Z14" i="7"/>
  <c r="AB48" i="7"/>
  <c r="AB47" i="7"/>
  <c r="AB46" i="7"/>
  <c r="AB45" i="7"/>
  <c r="AB37" i="7"/>
  <c r="AB36" i="7"/>
  <c r="AB35" i="7"/>
  <c r="AB34" i="7"/>
  <c r="AB26" i="7"/>
  <c r="AB25" i="7"/>
  <c r="AB24" i="7"/>
  <c r="AB23" i="7"/>
  <c r="AB15" i="7"/>
  <c r="AB17" i="7"/>
  <c r="AB18" i="7"/>
  <c r="AB19" i="7"/>
  <c r="AB14" i="7"/>
  <c r="T48" i="7"/>
  <c r="T47" i="7"/>
  <c r="T46" i="7"/>
  <c r="T45" i="7"/>
  <c r="T37" i="7"/>
  <c r="T36" i="7"/>
  <c r="T35" i="7"/>
  <c r="T34" i="7"/>
  <c r="T26" i="7"/>
  <c r="T25" i="7"/>
  <c r="T24" i="7"/>
  <c r="T23" i="7"/>
  <c r="T15" i="7"/>
  <c r="T17" i="7"/>
  <c r="T18" i="7"/>
  <c r="T19" i="7"/>
  <c r="T14" i="7"/>
  <c r="R48" i="7"/>
  <c r="R47" i="7"/>
  <c r="R46" i="7"/>
  <c r="R45" i="7"/>
  <c r="R37" i="7"/>
  <c r="R36" i="7"/>
  <c r="R35" i="7"/>
  <c r="R34" i="7"/>
  <c r="R24" i="7"/>
  <c r="R25" i="7"/>
  <c r="R26" i="7"/>
  <c r="R23" i="7"/>
  <c r="R15" i="7"/>
  <c r="R17" i="7"/>
  <c r="R18" i="7"/>
  <c r="R19" i="7"/>
  <c r="R14" i="7"/>
  <c r="K37" i="7"/>
  <c r="H37" i="7"/>
  <c r="I37" i="7" s="1"/>
  <c r="K36" i="7"/>
  <c r="H36" i="7"/>
  <c r="I36" i="7" s="1"/>
  <c r="K35" i="7"/>
  <c r="H35" i="7"/>
  <c r="I35" i="7" s="1"/>
  <c r="K34" i="7"/>
  <c r="H34" i="7"/>
  <c r="I34" i="7" s="1"/>
  <c r="K48" i="7"/>
  <c r="K47" i="7"/>
  <c r="K46" i="7"/>
  <c r="K45" i="7"/>
  <c r="K26" i="7"/>
  <c r="K25" i="7"/>
  <c r="K24" i="7"/>
  <c r="K23" i="7"/>
  <c r="K15" i="7"/>
  <c r="K17" i="7"/>
  <c r="K18" i="7"/>
  <c r="K19" i="7"/>
  <c r="K14" i="7"/>
  <c r="H48" i="7"/>
  <c r="I48" i="7" s="1"/>
  <c r="H47" i="7"/>
  <c r="I47" i="7" s="1"/>
  <c r="H46" i="7"/>
  <c r="I46" i="7" s="1"/>
  <c r="H45" i="7"/>
  <c r="I45" i="7" s="1"/>
  <c r="H24" i="7"/>
  <c r="I24" i="7" s="1"/>
  <c r="H25" i="7"/>
  <c r="I25" i="7" s="1"/>
  <c r="H26" i="7"/>
  <c r="I26" i="7" s="1"/>
  <c r="H23" i="7"/>
  <c r="I23" i="7" s="1"/>
  <c r="H15" i="7"/>
  <c r="I15" i="7" s="1"/>
  <c r="H17" i="7"/>
  <c r="I17" i="7" s="1"/>
  <c r="H18" i="7"/>
  <c r="I18" i="7" s="1"/>
  <c r="H19" i="7"/>
  <c r="I19" i="7" s="1"/>
  <c r="H14" i="7"/>
  <c r="I14" i="7" s="1"/>
  <c r="D583" i="16"/>
  <c r="F37" i="7" s="1"/>
  <c r="D584" i="16"/>
  <c r="D585" i="16"/>
  <c r="D586" i="16"/>
  <c r="F17" i="7" s="1"/>
  <c r="C587" i="16"/>
  <c r="D587" i="16" s="1"/>
  <c r="F18" i="7" s="1"/>
  <c r="C588" i="16"/>
  <c r="D588" i="16" s="1"/>
  <c r="D589" i="16"/>
  <c r="F27" i="7" s="1"/>
  <c r="C590" i="16"/>
  <c r="D590" i="16" s="1"/>
  <c r="F26" i="7" s="1"/>
  <c r="C591" i="16"/>
  <c r="D591" i="16" s="1"/>
  <c r="C592" i="16"/>
  <c r="D592" i="16" s="1"/>
  <c r="F34" i="7" s="1"/>
  <c r="C593" i="16"/>
  <c r="D593" i="16" s="1"/>
  <c r="F56" i="7" s="1"/>
  <c r="C594" i="16"/>
  <c r="D594" i="16" s="1"/>
  <c r="D595" i="16"/>
  <c r="D596" i="16"/>
  <c r="F43" i="7" s="1"/>
  <c r="D597" i="16"/>
  <c r="F44" i="7" s="1"/>
  <c r="C598" i="16"/>
  <c r="D598" i="16" s="1"/>
  <c r="F45" i="7" s="1"/>
  <c r="C599" i="16"/>
  <c r="D599" i="16"/>
  <c r="F23" i="7" s="1"/>
  <c r="C600" i="16"/>
  <c r="D600" i="16" s="1"/>
  <c r="F35" i="7" s="1"/>
  <c r="C601" i="16"/>
  <c r="D601" i="16"/>
  <c r="C602" i="16"/>
  <c r="D602" i="16" s="1"/>
  <c r="C603" i="16"/>
  <c r="D603" i="16" s="1"/>
  <c r="C604" i="16"/>
  <c r="D604" i="16" s="1"/>
  <c r="C605" i="16"/>
  <c r="D605" i="16" s="1"/>
  <c r="C606" i="16"/>
  <c r="D606" i="16"/>
  <c r="C607" i="16"/>
  <c r="D607" i="16" s="1"/>
  <c r="C608" i="16"/>
  <c r="D608" i="16"/>
  <c r="C609" i="16"/>
  <c r="D609" i="16" s="1"/>
  <c r="C610" i="16"/>
  <c r="D610" i="16" s="1"/>
  <c r="C611" i="16"/>
  <c r="D611" i="16" s="1"/>
  <c r="C612" i="16"/>
  <c r="D612" i="16" s="1"/>
  <c r="C613" i="16"/>
  <c r="D613" i="16" s="1"/>
  <c r="C614" i="16"/>
  <c r="D614" i="16"/>
  <c r="C615" i="16"/>
  <c r="D615" i="16" s="1"/>
  <c r="C616" i="16"/>
  <c r="D616" i="16" s="1"/>
  <c r="C617" i="16"/>
  <c r="D617" i="16" s="1"/>
  <c r="C618" i="16"/>
  <c r="D618" i="16" s="1"/>
  <c r="C619" i="16"/>
  <c r="D619" i="16" s="1"/>
  <c r="C620" i="16"/>
  <c r="D620" i="16" s="1"/>
  <c r="C621" i="16"/>
  <c r="D621" i="16" s="1"/>
  <c r="C622" i="16"/>
  <c r="D622" i="16" s="1"/>
  <c r="C623" i="16"/>
  <c r="D623" i="16" s="1"/>
  <c r="C624" i="16"/>
  <c r="D624" i="16" s="1"/>
  <c r="C625" i="16"/>
  <c r="D625" i="16" s="1"/>
  <c r="C626" i="16"/>
  <c r="D626" i="16" s="1"/>
  <c r="C627" i="16"/>
  <c r="D627" i="16" s="1"/>
  <c r="C628" i="16"/>
  <c r="D628" i="16"/>
  <c r="C629" i="16"/>
  <c r="D629" i="16" s="1"/>
  <c r="C630" i="16"/>
  <c r="D630" i="16" s="1"/>
  <c r="C631" i="16"/>
  <c r="D631" i="16" s="1"/>
  <c r="F25" i="7" l="1"/>
  <c r="F24" i="7"/>
  <c r="F54" i="7"/>
  <c r="F36" i="7"/>
  <c r="F48" i="7"/>
  <c r="F47" i="7"/>
  <c r="F32" i="7"/>
  <c r="F14" i="7"/>
  <c r="F46" i="7"/>
  <c r="F19" i="7"/>
  <c r="F52" i="7"/>
  <c r="F15" i="7"/>
  <c r="F16" i="7"/>
  <c r="F53" i="7"/>
  <c r="F57" i="7"/>
</calcChain>
</file>

<file path=xl/sharedStrings.xml><?xml version="1.0" encoding="utf-8"?>
<sst xmlns="http://schemas.openxmlformats.org/spreadsheetml/2006/main" count="3342" uniqueCount="813">
  <si>
    <t>CATEGORY</t>
  </si>
  <si>
    <t>Dips</t>
  </si>
  <si>
    <t>https://youtu.be/xSjmKTf4QbA</t>
  </si>
  <si>
    <t>العضلة</t>
  </si>
  <si>
    <t>الجولات</t>
  </si>
  <si>
    <t>الوزن</t>
  </si>
  <si>
    <t>الاسبوع الثاني</t>
  </si>
  <si>
    <t>الاسبوع الرابع</t>
  </si>
  <si>
    <t>الاسبوع الثالث</t>
  </si>
  <si>
    <t>رقم التمرين</t>
  </si>
  <si>
    <t>صدر علوي</t>
  </si>
  <si>
    <t>بايسيبس</t>
  </si>
  <si>
    <t>ترايسيبس</t>
  </si>
  <si>
    <t>بطن</t>
  </si>
  <si>
    <t>الفيديو</t>
  </si>
  <si>
    <t>البطات</t>
  </si>
  <si>
    <t>صدر مستوي</t>
  </si>
  <si>
    <t>سواعد</t>
  </si>
  <si>
    <t>Low cable chest fly</t>
  </si>
  <si>
    <t>Leg extensions</t>
  </si>
  <si>
    <t>Lying leg curl</t>
  </si>
  <si>
    <t>إسم التمرين</t>
  </si>
  <si>
    <t>اليوم السابع - راحة</t>
  </si>
  <si>
    <t>أكتاف خلفي</t>
  </si>
  <si>
    <t>مثلثات</t>
  </si>
  <si>
    <t>Wide grip lat pulldown</t>
  </si>
  <si>
    <t>Machine reverse fly</t>
  </si>
  <si>
    <t>Hammer curl</t>
  </si>
  <si>
    <t>كم تكرار لعبت؟</t>
  </si>
  <si>
    <t>الديلود</t>
  </si>
  <si>
    <t>طريقة الإحماء قبل التمرين</t>
  </si>
  <si>
    <t xml:space="preserve"> </t>
  </si>
  <si>
    <t>الراحة بين الجولات</t>
  </si>
  <si>
    <t>الاسبوع الخامس</t>
  </si>
  <si>
    <t>30-60 ثانية</t>
  </si>
  <si>
    <t>Underhand EZ bar row</t>
  </si>
  <si>
    <t>Cable triceps pushdown</t>
  </si>
  <si>
    <t>Leg press</t>
  </si>
  <si>
    <t>Seated leg curl</t>
  </si>
  <si>
    <t>Dumbbell chest fly</t>
  </si>
  <si>
    <t>Machine triceps extensions</t>
  </si>
  <si>
    <t>Rope crunch</t>
  </si>
  <si>
    <t>Hammer high row</t>
  </si>
  <si>
    <t>Chest supported row</t>
  </si>
  <si>
    <t>Cable face pull</t>
  </si>
  <si>
    <t>Barbell standing wrist curl</t>
  </si>
  <si>
    <t>Barbell bent over row</t>
  </si>
  <si>
    <t>Seated barbell shoulder press</t>
  </si>
  <si>
    <t>Cable rope pushdown</t>
  </si>
  <si>
    <t>Reaching sit up</t>
  </si>
  <si>
    <t>Incline dumbbell chest fly</t>
  </si>
  <si>
    <t>Dumbbell skull crusher</t>
  </si>
  <si>
    <t>Hammer low row</t>
  </si>
  <si>
    <t>Cable biceps curl</t>
  </si>
  <si>
    <t>Dumbbell incline chest press</t>
  </si>
  <si>
    <t>Dumbbell spider curl</t>
  </si>
  <si>
    <t>Dumbbell upright rows</t>
  </si>
  <si>
    <t>Machine horizontal chest press</t>
  </si>
  <si>
    <t>Rope overhead triceps extensions</t>
  </si>
  <si>
    <t>Parallel lat pulldown</t>
  </si>
  <si>
    <t>Incline dumbbell row</t>
  </si>
  <si>
    <t>Cable wrist curl</t>
  </si>
  <si>
    <t>Dumbbell standing wrist curl</t>
  </si>
  <si>
    <t>رجلين أمامي</t>
  </si>
  <si>
    <t>التمرين</t>
  </si>
  <si>
    <t>الرابط</t>
  </si>
  <si>
    <t>https://www.youtube.com/watch?v=yZmx_Ac3880&amp;list=PLyqKj7LwU2RuAg-us4mzap6izNcc1fuRW&amp;index=7</t>
  </si>
  <si>
    <t>https://www.youtube.com/watch?v=m0FOpMEgero&amp;list=PLyqKj7LwU2RuAg-us4mzap6izNcc1fuRW&amp;index=6</t>
  </si>
  <si>
    <t>رجلين سكوات</t>
  </si>
  <si>
    <t>hack squat</t>
  </si>
  <si>
    <t>https://www.youtube.com/watch?v=rYgNArpwE7E&amp;list=PLyqKj7LwU2RuAg-us4mzap6izNcc1fuRW&amp;index=4</t>
  </si>
  <si>
    <t>front squat</t>
  </si>
  <si>
    <t>https://www.youtube.com/watch?v=HHxNbhP16UE&amp;list=PLyqKj7LwU2RuAg-us4mzap6izNcc1fuRW&amp;index=3</t>
  </si>
  <si>
    <t>high bar squat</t>
  </si>
  <si>
    <t>https://www.youtube.com/watch?v=i7J5h7BJ07g&amp;list=PLyqKj7LwU2RuAg-us4mzap6izNcc1fuRW&amp;index=5</t>
  </si>
  <si>
    <t>Smith machine squat forward</t>
  </si>
  <si>
    <t>https://www.youtube.com/watch?v=-eO_VydErV0&amp;list=PLyqKj7LwU2RuAg-us4mzap6izNcc1fuRW</t>
  </si>
  <si>
    <t>sumo squat</t>
  </si>
  <si>
    <t>https://www.youtube.com/watch?v=4eDJa5MnAmY&amp;list=PLyqKj7LwU2RtZnGDmtpyhDdvUHFvVyZnA&amp;index=15</t>
  </si>
  <si>
    <t>Dumbbell split squats</t>
  </si>
  <si>
    <t>https://www.youtube.com/watch?v=pjAewD4LxXs&amp;list=PLyqKj7LwU2RtZnGDmtpyhDdvUHFvVyZnA&amp;index=18</t>
  </si>
  <si>
    <t>Bulgarian split squats</t>
  </si>
  <si>
    <t>https://www.youtube.com/watch?v=jNihW0WDIL4&amp;list=PLyqKj7LwU2RtZnGDmtpyhDdvUHFvVyZnA&amp;index=12</t>
  </si>
  <si>
    <t>رجلين خلفي عزل</t>
  </si>
  <si>
    <t>https://www.youtube.com/watch?v=Orxowest56U&amp;list=PLyqKj7LwU2Rvx_O313dzJNFKPiEqRMWiV&amp;index=7</t>
  </si>
  <si>
    <t>https://www.youtube.com/watch?v=n5WDXD_mpVY&amp;list=PLyqKj7LwU2Rvx_O313dzJNFKPiEqRMWiV&amp;index=6</t>
  </si>
  <si>
    <t> رجل خلفي حوض للوراء </t>
  </si>
  <si>
    <t>Barbell Stiff leg deadlift</t>
  </si>
  <si>
    <t>https://www.youtube.com/watch?v=CN_7cz3P-1U&amp;list=PLyqKj7LwU2Rvx_O313dzJNFKPiEqRMWiV&amp;index=9</t>
  </si>
  <si>
    <t>High bar Good morning</t>
  </si>
  <si>
    <t>https://www.youtube.com/watch?v=dEJ0FTm-CEk&amp;list=PLyqKj7LwU2Rvx_O313dzJNFKPiEqRMWiV&amp;index=4</t>
  </si>
  <si>
    <t>45degree back raise</t>
  </si>
  <si>
    <t>https://www.youtube.com/watch?v=5_ejbGfdAQE&amp;list=PLyqKj7LwU2Rvx_O313dzJNFKPiEqRMWiV&amp;index=1</t>
  </si>
  <si>
    <t>Dumbbell stiff leg deadlift</t>
  </si>
  <si>
    <t>https://www.youtube.com/watch?v=cYKYGwcg0U8&amp;list=PLyqKj7LwU2Rvx_O313dzJNFKPiEqRMWiV&amp;index=2</t>
  </si>
  <si>
    <t>Low bar good morning</t>
  </si>
  <si>
    <t>https://www.youtube.com/watch?v=mnxn-7SO9Ks&amp;list=PLyqKj7LwU2Rvx_O313dzJNFKPiEqRMWiV&amp;index=5</t>
  </si>
  <si>
    <t>Barbell walking lunge (wide)</t>
  </si>
  <si>
    <t>https://www.youtube.com/watch?v=_meXEWq5MOQ&amp;list=PLyqKj7LwU2RtZnGDmtpyhDdvUHFvVyZnA&amp;index=2</t>
  </si>
  <si>
    <t>Dumbbell walking lunge (wide)</t>
  </si>
  <si>
    <t>https://www.youtube.com/watch?v=eFWCn5iEbTU&amp;list=PLyqKj7LwU2RtZnGDmtpyhDdvUHFvVyZnA&amp;index=7</t>
  </si>
  <si>
    <t>sumo deadlift</t>
  </si>
  <si>
    <t>https://www.youtube.com/watch?v=pfSMst14EFk&amp;list=PLyqKj7LwU2RtZnGDmtpyhDdvUHFvVyZnA&amp;index=13</t>
  </si>
  <si>
    <t>Barbell hip thrusts</t>
  </si>
  <si>
    <t>https://www.youtube.com/watch?v=EF7jXP17DPE&amp;list=PLyqKj7LwU2RtZnGDmtpyhDdvUHFvVyZnA&amp;index=1</t>
  </si>
  <si>
    <t>Machine hip thrust</t>
  </si>
  <si>
    <t>https://www.youtube.com/watch?v=ZSPmIyX9RZs&amp;list=PLyqKj7LwU2RtZnGDmtpyhDdvUHFvVyZnA&amp;index=9</t>
  </si>
  <si>
    <t>Machine glute kickback</t>
  </si>
  <si>
    <t>https://www.youtube.com/watch?v=NLDBFtSNhqg&amp;list=PLyqKj7LwU2RtZnGDmtpyhDdvUHFvVyZnA&amp;index=8</t>
  </si>
  <si>
    <t>Single leg hip thrust</t>
  </si>
  <si>
    <t>https://www.youtube.com/watch?v=lzDgRRuBdqY&amp;list=PLyqKj7LwU2RtZnGDmtpyhDdvUHFvVyZnA&amp;index=11</t>
  </si>
  <si>
    <t>Cable pull throughs</t>
  </si>
  <si>
    <t>https://www.youtube.com/watch?v=pv8e6OSyETE&amp;list=PLyqKj7LwU2RtZnGDmtpyhDdvUHFvVyZnA&amp;index=3</t>
  </si>
  <si>
    <t>Barbell Reverse lunge</t>
  </si>
  <si>
    <t>https://www.youtube.com/watch?v=TQfhY5oJ_Sc&amp;list=PLyqKj7LwU2RtZnGDmtpyhDdvUHFvVyZnA&amp;index=10</t>
  </si>
  <si>
    <t>Dumbbell reverse lunge</t>
  </si>
  <si>
    <t>https://www.youtube.com/watch?v=D-c2CWwEweo&amp;list=PLyqKj7LwU2RtZnGDmtpyhDdvUHFvVyZnA&amp;index=17</t>
  </si>
  <si>
    <t>Single leg dumbbell glute bridges</t>
  </si>
  <si>
    <t>https://www.youtube.com/watch?v=CSXVj047Ss4&amp;list=PLyqKj7LwU2RtZnGDmtpyhDdvUHFvVyZnA&amp;index=19</t>
  </si>
  <si>
    <t>Calve on machine standing</t>
  </si>
  <si>
    <t>https://www.youtube.com/watch?v=N3awlEyTY98&amp;list=PLyqKj7LwU2RtQyn5wWMJbD0rCV-cSkiK3&amp;index=1</t>
  </si>
  <si>
    <t>Stair calves (Bodyweight)</t>
  </si>
  <si>
    <t>https://www.youtube.com/watch?v=__qfDhdByMY&amp;list=PLyqKj7LwU2RtQyn5wWMJbD0rCV-cSkiK3&amp;index=5</t>
  </si>
  <si>
    <t>Calves on leg press</t>
  </si>
  <si>
    <t>https://www.youtube.com/watch?v=KxEYX_cuesM&amp;list=PLyqKj7LwU2RtQyn5wWMJbD0rCV-cSkiK3&amp;index=2</t>
  </si>
  <si>
    <t>Smith machine calves</t>
  </si>
  <si>
    <t>https://www.youtube.com/watch?v=hh5516HCu4k&amp;list=PLyqKj7LwU2RtQyn5wWMJbD0rCV-cSkiK3&amp;index=4</t>
  </si>
  <si>
    <t>Single leg stair calves</t>
  </si>
  <si>
    <t>https://www.youtube.com/watch?v=_gEx2ijsmNM&amp;list=PLyqKj7LwU2RtQyn5wWMJbD0rCV-cSkiK3&amp;index=3</t>
  </si>
  <si>
    <t>أكتاف أمامي</t>
  </si>
  <si>
    <t>Standing barbell shoulder press</t>
  </si>
  <si>
    <t>https://www.youtube.com/watch?v=G2qpTG1Eh40&amp;list=PLyqKj7LwU2RtjiVutSXk5uC2h7KVMu1Az&amp;index=9</t>
  </si>
  <si>
    <t>https://www.youtube.com/watch?v=IuzRCN6eG6Y&amp;list=PLyqKj7LwU2RtjiVutSXk5uC2h7KVMu1Az&amp;index=6</t>
  </si>
  <si>
    <t>Standing dumbbell shoulder press</t>
  </si>
  <si>
    <t>https://www.youtube.com/watch?v=Raemd3qWgJc&amp;list=PLyqKj7LwU2RtjiVutSXk5uC2h7KVMu1Az&amp;index=10</t>
  </si>
  <si>
    <t>Seated dumbbell shoulder press</t>
  </si>
  <si>
    <t>https://www.youtube.com/watch?v=HzIiNhHhhtA&amp;list=PLyqKj7LwU2RtjiVutSXk5uC2h7KVMu1Az&amp;index=7</t>
  </si>
  <si>
    <t>Machine shoulder press</t>
  </si>
  <si>
    <t>https://www.youtube.com/watch?v=WvLMauqrnK8&amp;list=PLyqKj7LwU2RtjiVutSXk5uC2h7KVMu1Az&amp;index=5</t>
  </si>
  <si>
    <t>Smith machine seated shoulder press</t>
  </si>
  <si>
    <t>https://www.youtube.com/watch?v=OLqZDUUD2b0&amp;list=PLyqKj7LwU2RtjiVutSXk5uC2h7KVMu1Az&amp;index=8</t>
  </si>
  <si>
    <t>Barbell front raises</t>
  </si>
  <si>
    <t>https://www.youtube.com/watch?v=_ikCPws1mbE&amp;list=PLyqKj7LwU2RtjiVutSXk5uC2h7KVMu1Az&amp;index=1</t>
  </si>
  <si>
    <t>Cable underhand front raise</t>
  </si>
  <si>
    <t>https://www.youtube.com/watch?v=yIoAcMD3jcE&amp;list=PLyqKj7LwU2RtjiVutSXk5uC2h7KVMu1Az&amp;index=2</t>
  </si>
  <si>
    <t>Dumbbell front raises</t>
  </si>
  <si>
    <t>https://www.youtube.com/watch?v=hRJ6tR5-if0&amp;list=PLyqKj7LwU2RtjiVutSXk5uC2h7KVMu1Az&amp;index=3</t>
  </si>
  <si>
    <t>EZ bar underhand front raise</t>
  </si>
  <si>
    <t>https://www.youtube.com/watch?v=87pZAbYjXc4&amp;list=PLyqKj7LwU2RtjiVutSXk5uC2h7KVMu1Az&amp;index=4</t>
  </si>
  <si>
    <t>اكتاف جانبي</t>
  </si>
  <si>
    <t>https://www.youtube.com/watch?v=Ub6QruNKfbY&amp;list=PLyqKj7LwU2RuNVJBl0CtfZdxQ99IhKCcu&amp;index=4</t>
  </si>
  <si>
    <t>Barbell upright rows</t>
  </si>
  <si>
    <t>https://www.youtube.com/watch?v=um3VVzqunPU&amp;list=PLyqKj7LwU2RuNVJBl0CtfZdxQ99IhKCcu&amp;index=1</t>
  </si>
  <si>
    <t>Cable upright rows</t>
  </si>
  <si>
    <t>https://www.youtube.com/watch?v=qr3ziolhjvQ&amp;list=PLyqKj7LwU2RuNVJBl0CtfZdxQ99IhKCcu&amp;index=3</t>
  </si>
  <si>
    <t>Leaning cable lateral raise</t>
  </si>
  <si>
    <t>https://www.youtube.com/watch?v=lq7eLC30b9w&amp;list=PLyqKj7LwU2RuNVJBl0CtfZdxQ99IhKCcu&amp;index=6</t>
  </si>
  <si>
    <t>Standing dumbbell lateral raises</t>
  </si>
  <si>
    <t>https://www.youtube.com/watch?v=SKf8wHlIFX0&amp;list=PLyqKj7LwU2RuNVJBl0CtfZdxQ99IhKCcu&amp;index=10</t>
  </si>
  <si>
    <t>Cable crossover lateral raises</t>
  </si>
  <si>
    <t>https://www.youtube.com/watch?v=2OMbdPF7mz4&amp;list=PLyqKj7LwU2RuNVJBl0CtfZdxQ99IhKCcu&amp;index=2</t>
  </si>
  <si>
    <t>Thumbs down lateral raises</t>
  </si>
  <si>
    <t>https://www.youtube.com/watch?v=D1f7d1OcobY&amp;list=PLyqKj7LwU2RuNVJBl0CtfZdxQ99IhKCcu&amp;index=9</t>
  </si>
  <si>
    <t>Machine lateral raise</t>
  </si>
  <si>
    <t>https://www.youtube.com/watch?v=0o07iGKUarI&amp;list=PLyqKj7LwU2RuNVJBl0CtfZdxQ99IhKCcu&amp;index=7</t>
  </si>
  <si>
    <t>Smith machine upright row</t>
  </si>
  <si>
    <t>https://www.youtube.com/watch?v=QIpa-9dtkgA&amp;list=PLyqKj7LwU2RuNVJBl0CtfZdxQ99IhKCcu&amp;index=8</t>
  </si>
  <si>
    <t>أكتاف خلفي</t>
  </si>
  <si>
    <t>Barbell face pull</t>
  </si>
  <si>
    <t>https://www.youtube.com/watch?v=hPWYuhJMUhU&amp;list=PLyqKj7LwU2Rv-tzrJev2STMTIGt_JeugT&amp;index=10</t>
  </si>
  <si>
    <t>Dumbbell face pull</t>
  </si>
  <si>
    <t>https://www.youtube.com/watch?v=nzTY7j9ocR8&amp;list=PLyqKj7LwU2Rv-tzrJev2STMTIGt_JeugT&amp;index=5</t>
  </si>
  <si>
    <t>https://www.youtube.com/watch?v=-MODnZdnmAQ&amp;list=PLyqKj7LwU2Rv-tzrJev2STMTIGt_JeugT&amp;index=3</t>
  </si>
  <si>
    <t>Dumbbell standing bent over rear delt raises</t>
  </si>
  <si>
    <t>https://www.youtube.com/watch?v=34gVHrkaiz0&amp;list=PLyqKj7LwU2Rv-tzrJev2STMTIGt_JeugT&amp;index=1</t>
  </si>
  <si>
    <t>Kneeling cable face pull</t>
  </si>
  <si>
    <t>https://www.youtube.com/watch?v=8CGMuud1ANw&amp;list=PLyqKj7LwU2Rv-tzrJev2STMTIGt_JeugT&amp;index=8</t>
  </si>
  <si>
    <t>Incline dumbbell face pull</t>
  </si>
  <si>
    <t>https://www.youtube.com/watch?v=90cE3rCLtmo&amp;list=PLyqKj7LwU2Rv-tzrJev2STMTIGt_JeugT&amp;index=6</t>
  </si>
  <si>
    <t>Cable body crossover bent lateral raises</t>
  </si>
  <si>
    <t>https://www.youtube.com/watch?v=f0g5NkYiWUY&amp;list=PLyqKj7LwU2Rv-tzrJev2STMTIGt_JeugT&amp;index=2</t>
  </si>
  <si>
    <t>Cable single arm rear delt raises</t>
  </si>
  <si>
    <t>https://www.youtube.com/watch?v=qz1OLup4W_M&amp;list=PLyqKj7LwU2Rv-tzrJev2STMTIGt_JeugT&amp;index=4</t>
  </si>
  <si>
    <t>https://www.youtube.com/watch?v=5YK4bgzXDp0&amp;list=PLyqKj7LwU2Rv-tzrJev2STMTIGt_JeugT&amp;index=9</t>
  </si>
  <si>
    <t>صدر علوي</t>
  </si>
  <si>
    <t>https://www.youtube.com/watch?v=5CECBjd7HLQ&amp;list=PLyqKj7LwU2RuyZwWCIiDHuFZGN11QW3Ff&amp;index=13</t>
  </si>
  <si>
    <t>Barbell incline wide grip chest press</t>
  </si>
  <si>
    <t>https://www.youtube.com/watch?v=FxQ0XEoFYQk&amp;list=PLyqKj7LwU2RuyZwWCIiDHuFZGN11QW3Ff&amp;index=18</t>
  </si>
  <si>
    <t>Barbell incline medium grip press</t>
  </si>
  <si>
    <t>https://www.youtube.com/watch?v=lJ2o89kcnxY&amp;list=PLyqKj7LwU2RuyZwWCIiDHuFZGN11QW3Ff&amp;index=16</t>
  </si>
  <si>
    <t>Smith machine incline chest press</t>
  </si>
  <si>
    <t>https://www.youtube.com/watch?v=8urE8Z8AMQ4&amp;list=PLyqKj7LwU2RuyZwWCIiDHuFZGN11QW3Ff&amp;index=28</t>
  </si>
  <si>
    <t>Machine incline chest press</t>
  </si>
  <si>
    <t>https://www.youtube.com/watch?v=0Wa9CfRXUkA&amp;list=PLyqKj7LwU2RuyZwWCIiDHuFZGN11QW3Ff&amp;index=10</t>
  </si>
  <si>
    <t>صدر مستوي</t>
  </si>
  <si>
    <t>Wide grip Barbell bench press</t>
  </si>
  <si>
    <t>https://www.youtube.com/watch?v=EeE3f4VWFDo&amp;list=PLyqKj7LwU2RuyZwWCIiDHuFZGN11QW3Ff&amp;index=33</t>
  </si>
  <si>
    <t>Dumbbell chest press</t>
  </si>
  <si>
    <t>https://www.youtube.com/watch?v=YQ2s_Y7g5Qk&amp;list=PLyqKj7LwU2RuyZwWCIiDHuFZGN11QW3Ff&amp;index=6</t>
  </si>
  <si>
    <t>Smith machine bench press</t>
  </si>
  <si>
    <t>https://www.youtube.com/watch?v=O5viuEPDXKY&amp;list=PLyqKj7LwU2RuyZwWCIiDHuFZGN11QW3Ff&amp;index=27</t>
  </si>
  <si>
    <t>https://www.youtube.com/watch?v=aV1U_mK3XOs&amp;list=PLyqKj7LwU2RuyZwWCIiDHuFZGN11QW3Ff&amp;index=9</t>
  </si>
  <si>
    <t>Pushups</t>
  </si>
  <si>
    <t>https://www.youtube.com/watch?v=mm6_WcoCVTA&amp;list=PLyqKj7LwU2RuyZwWCIiDHuFZGN11QW3Ff&amp;index=26</t>
  </si>
  <si>
    <t>Deficit pushups</t>
  </si>
  <si>
    <t>https://www.youtube.com/watch?v=gmNlqsE3Onc&amp;list=PLyqKj7LwU2RuyZwWCIiDHuFZGN11QW3Ff&amp;index=5</t>
  </si>
  <si>
    <t>Medium grip bench press</t>
  </si>
  <si>
    <t>https://www.youtube.com/watch?v=gMgvBspQ9lk&amp;list=PLyqKj7LwU2RuyZwWCIiDHuFZGN11QW3Ff&amp;index=22</t>
  </si>
  <si>
    <t>صدر عزل</t>
  </si>
  <si>
    <t>Machine chest fly</t>
  </si>
  <si>
    <t>https://www.youtube.com/watch?v=FDay9wFe5uE&amp;list=PLyqKj7LwU2RuyZwWCIiDHuFZGN11QW3Ff&amp;index=21</t>
  </si>
  <si>
    <t>Cable chest fly</t>
  </si>
  <si>
    <t>https://www.youtube.com/watch?v=4mfLHnFL0Uw&amp;list=PLyqKj7LwU2RuyZwWCIiDHuFZGN11QW3Ff&amp;index=1</t>
  </si>
  <si>
    <t>https://www.youtube.com/watch?v=JFm8KbhjibM&amp;list=PLyqKj7LwU2RuyZwWCIiDHuFZGN11QW3Ff&amp;index=7</t>
  </si>
  <si>
    <t>Incline Cable chest fly</t>
  </si>
  <si>
    <t>https://www.youtube.com/watch?v=GtHNC-5GtR0</t>
  </si>
  <si>
    <t>https://www.youtube.com/watch?v=8oR5hBwbIBc&amp;list=PLyqKj7LwU2RuyZwWCIiDHuFZGN11QW3Ff&amp;index=12</t>
  </si>
  <si>
    <t>https://www.youtube.com/watch?v=e_8HLu59-to&amp;list=PLyqKj7LwU2RuyZwWCIiDHuFZGN11QW3Ff&amp;index=3</t>
  </si>
  <si>
    <t>High cable chest fly</t>
  </si>
  <si>
    <t>https://www.youtube.com/watch?v=Cj6P91eFXkM&amp;list=PLyqKj7LwU2RuyZwWCIiDHuFZGN11QW3Ff&amp;index=2</t>
  </si>
  <si>
    <t>Pec deck fly</t>
  </si>
  <si>
    <t>https://www.youtube.com/watch?v=O-OBCfyh9Fw&amp;list=PLyqKj7LwU2RuyZwWCIiDHuFZGN11QW3Ff&amp;index=25</t>
  </si>
  <si>
    <t>Underhand pull ups</t>
  </si>
  <si>
    <t>https://www.youtube.com/watch?v=9JC1EwqezGY&amp;list=PLyqKj7LwU2RsCtKw3UlE85HYgPM3-xoO1&amp;index=32</t>
  </si>
  <si>
    <t>Wide grip pull ups</t>
  </si>
  <si>
    <t>https://www.youtube.com/watch?v=GRgWPT9XSQQ&amp;list=PLyqKj7LwU2RsCtKw3UlE85HYgPM3-xoO1&amp;index=31</t>
  </si>
  <si>
    <t>Assisted normal grip pull ups</t>
  </si>
  <si>
    <t>https://www.youtube.com/watch?v=8ygapPMYK1I&amp;list=PLyqKj7LwU2RsCtKw3UlE85HYgPM3-xoO1&amp;index=1</t>
  </si>
  <si>
    <t>Assisted Parallel pull ups</t>
  </si>
  <si>
    <t>https://www.youtube.com/watch?v=GdsRZAeeDUc&amp;list=PLyqKj7LwU2RsCtKw3UlE85HYgPM3-xoO1&amp;index=2</t>
  </si>
  <si>
    <t>Assisted underhand pullups</t>
  </si>
  <si>
    <t>https://www.youtube.com/watch?v=L4ChTwrXTjc&amp;list=PLyqKj7LwU2RsCtKw3UlE85HYgPM3-xoO1&amp;index=3</t>
  </si>
  <si>
    <t>Assisted wide grip pull ups</t>
  </si>
  <si>
    <t>https://www.youtube.com/watch?v=0tiC6RUZL8Y&amp;list=PLyqKj7LwU2RsCtKw3UlE85HYgPM3-xoO1&amp;index=4</t>
  </si>
  <si>
    <t>https://www.youtube.com/watch?v=gg5hwJuv6KI&amp;list=PLyqKj7LwU2RsCtKw3UlE85HYgPM3-xoO1&amp;index=10</t>
  </si>
  <si>
    <t>https://www.youtube.com/watch?v=YCKPD4BSD2E&amp;list=PLyqKj7LwU2RsCtKw3UlE85HYgPM3-xoO1&amp;index=30</t>
  </si>
  <si>
    <t>Underhand pulldown</t>
  </si>
  <si>
    <t>https://www.youtube.com/watch?v=VprlTxpB1rk&amp;list=PLyqKj7LwU2RsCtKw3UlE85HYgPM3-xoO1&amp;index=29</t>
  </si>
  <si>
    <t>Straight arm pulldown</t>
  </si>
  <si>
    <t>https://www.youtube.com/watch?v=G9uNaXGTJ4w&amp;list=PLyqKj7LwU2RsCtKw3UlE85HYgPM3-xoO1&amp;index=25</t>
  </si>
  <si>
    <t>Parallel grip pullup</t>
  </si>
  <si>
    <t>https://www.youtube.com/watch?v=XWt6FQAK5wM&amp;list=PLyqKj7LwU2RsCtKw3UlE85HYgPM3-xoO1&amp;index=19</t>
  </si>
  <si>
    <t>Normal grip pull ups</t>
  </si>
  <si>
    <t>https://www.youtube.com/watch?v=iWpoegdfgtc&amp;list=PLyqKj7LwU2RsCtKw3UlE85HYgPM3-xoO1&amp;index=17</t>
  </si>
  <si>
    <t>https://www.youtube.com/watch?v=--utaPT7XYQ&amp;list=PLyqKj7LwU2RsCtKw3UlE85HYgPM3-xoO1&amp;index=18</t>
  </si>
  <si>
    <t>Normal grip pulldowns</t>
  </si>
  <si>
    <t>https://www.youtube.com/watch?v=EUIri47Epcg&amp;list=PLyqKj7LwU2RsCtKw3UlE85HYgPM3-xoO1&amp;index=16</t>
  </si>
  <si>
    <t>سحب افقي ظهر</t>
  </si>
  <si>
    <t>https://www.youtube.com/watch?v=6FZHJGzMFEc&amp;list=PLyqKj7LwU2RsCtKw3UlE85HYgPM3-xoO1&amp;index=5</t>
  </si>
  <si>
    <t>Dumbbell bent over two arm row</t>
  </si>
  <si>
    <t>https://www.youtube.com/watch?v=5PoEksoJNaw&amp;list=PLyqKj7LwU2RsCtKw3UlE85HYgPM3-xoO1&amp;index=22</t>
  </si>
  <si>
    <t>https://www.youtube.com/watch?v=0UBRfiO4zDs&amp;list=PLyqKj7LwU2RsCtKw3UlE85HYgPM3-xoO1&amp;index=8</t>
  </si>
  <si>
    <t>Dumbbell one arm bent over row</t>
  </si>
  <si>
    <t>https://www.youtube.com/watch?v=DMo3HJoawrU&amp;list=PLyqKj7LwU2RsCtKw3UlE85HYgPM3-xoO1&amp;index=23</t>
  </si>
  <si>
    <t>https://www.youtube.com/watch?v=H260SUUyJBM&amp;list=PLyqKj7LwU2RsCtKw3UlE85HYgPM3-xoO1&amp;index=28</t>
  </si>
  <si>
    <t>Seated Cable row</t>
  </si>
  <si>
    <t>https://www.youtube.com/watch?v=UCXxvVItLoM&amp;list=PLyqKj7LwU2RsCtKw3UlE85HYgPM3-xoO1&amp;index=21</t>
  </si>
  <si>
    <t>Dumbbell pullover</t>
  </si>
  <si>
    <t>https://www.youtube.com/watch?v=jQjWlIwG4sI&amp;list=PLyqKj7LwU2RsCtKw3UlE85HYgPM3-xoO1&amp;index=9</t>
  </si>
  <si>
    <t>Machine pullover</t>
  </si>
  <si>
    <t>https://www.youtube.com/watch?v=oxpAl14EYyc&amp;list=PLyqKj7LwU2RsCtKw3UlE85HYgPM3-xoO1&amp;index=15</t>
  </si>
  <si>
    <t>https://www.youtube.com/watch?v=opjbouBmUWg&amp;list=PLyqKj7LwU2RsCtKw3UlE85HYgPM3-xoO1&amp;index=11</t>
  </si>
  <si>
    <t>https://www.youtube.com/watch?v=tZUYS7X50so&amp;list=PLyqKj7LwU2RsCtKw3UlE85HYgPM3-xoO1&amp;index=12</t>
  </si>
  <si>
    <t>Inverted row</t>
  </si>
  <si>
    <t>https://www.youtube.com/watch?v=KOaCM1HMwU0&amp;list=PLyqKj7LwU2RsCtKw3UlE85HYgPM3-xoO1&amp;index=13</t>
  </si>
  <si>
    <t>Machine chest supported row</t>
  </si>
  <si>
    <t>https://www.youtube.com/watch?v=_FrrYQxA6kc&amp;list=PLyqKj7LwU2RsCtKw3UlE85HYgPM3-xoO1&amp;index=14</t>
  </si>
  <si>
    <t>Seal row</t>
  </si>
  <si>
    <t>https://www.youtube.com/watch?v=4H2ItXwUTp8&amp;list=PLyqKj7LwU2RsCtKw3UlE85HYgPM3-xoO1&amp;index=20</t>
  </si>
  <si>
    <t>T-bar row</t>
  </si>
  <si>
    <t>https://www.youtube.com/watch?v=yPis7nlbqdY&amp;list=PLyqKj7LwU2RsCtKw3UlE85HYgPM3-xoO1&amp;index=27</t>
  </si>
  <si>
    <t>Barbell narrow grip curl</t>
  </si>
  <si>
    <t>https://www.youtube.com/watch?v=pUS6HBQjRmc&amp;list=PLyqKj7LwU2Rt1cwOsHwdXa2TiRzjA6uoB&amp;index=2</t>
  </si>
  <si>
    <t>Barbell normal grip curl</t>
  </si>
  <si>
    <t>https://www.youtube.com/watch?v=JnLFSFurrqQ&amp;list=PLyqKj7LwU2Rt1cwOsHwdXa2TiRzjA6uoB&amp;index=3</t>
  </si>
  <si>
    <t xml:space="preserve">Cable EZ bar curl wide </t>
  </si>
  <si>
    <t>https://www.youtube.com/watch?v=yuozln3CC94&amp;list=PLyqKj7LwU2Rt1cwOsHwdXa2TiRzjA6uoB&amp;index=4</t>
  </si>
  <si>
    <t>Cable EZ bar curl normal</t>
  </si>
  <si>
    <t>https://www.youtube.com/watch?v=opFVuRi_3b8&amp;list=PLyqKj7LwU2Rt1cwOsHwdXa2TiRzjA6uoB&amp;index=5</t>
  </si>
  <si>
    <t>EZ bar close grip curl</t>
  </si>
  <si>
    <t>https://www.youtube.com/watch?v=cdmnvo3augg&amp;list=PLyqKj7LwU2Rt1cwOsHwdXa2TiRzjA6uoB&amp;index=9</t>
  </si>
  <si>
    <t>EZ bar wide grip curl</t>
  </si>
  <si>
    <t>https://www.youtube.com/watch?v=EK747VC37yE&amp;list=PLyqKj7LwU2Rt1cwOsHwdXa2TiRzjA6uoB&amp;index=10</t>
  </si>
  <si>
    <t>https://www.youtube.com/watch?v=840rgLSw-84</t>
  </si>
  <si>
    <t>Incline dumbbell curl</t>
  </si>
  <si>
    <t>https://www.youtube.com/watch?v=aTYlqC_JacQ&amp;list=PLyqKj7LwU2Rt1cwOsHwdXa2TiRzjA6uoB&amp;index=14</t>
  </si>
  <si>
    <t>https://www.youtube.com/watch?v=ke2shAeQ0O8&amp;list=PLyqKj7LwU2Rt1cwOsHwdXa2TiRzjA6uoB&amp;index=7</t>
  </si>
  <si>
    <t>https://www.youtube.com/watch?v=XOEL4MgekYE&amp;list=PLyqKj7LwU2Rt1cwOsHwdXa2TiRzjA6uoB&amp;index=13</t>
  </si>
  <si>
    <t>Alternate dumbbell curl</t>
  </si>
  <si>
    <t>https://www.youtube.com/watch?v=iixND1P2lik&amp;list=PLyqKj7LwU2Rt1cwOsHwdXa2TiRzjA6uoB&amp;index=1</t>
  </si>
  <si>
    <t>Dumbbell single arm preacher curl</t>
  </si>
  <si>
    <t>https://www.youtube.com/watch?v=fuK3nFvwgXk&amp;list=PLyqKj7LwU2Rt1cwOsHwdXa2TiRzjA6uoB&amp;index=6</t>
  </si>
  <si>
    <t>Dumbbell twist curl</t>
  </si>
  <si>
    <t>https://www.youtube.com/watch?v=tRXw8HQ7-oA&amp;list=PLyqKj7LwU2Rt1cwOsHwdXa2TiRzjA6uoB&amp;index=8</t>
  </si>
  <si>
    <t>EZ bar preacher curl</t>
  </si>
  <si>
    <t>https://www.youtube.com/watch?v=sxA__DoLsgo&amp;list=PLyqKj7LwU2Rt1cwOsHwdXa2TiRzjA6uoB&amp;index=11</t>
  </si>
  <si>
    <t>EZ bar spider curl</t>
  </si>
  <si>
    <t>https://www.youtube.com/watch?v=WG3vdcq__I0&amp;list=PLyqKj7LwU2Rt1cwOsHwdXa2TiRzjA6uoB&amp;index=12</t>
  </si>
  <si>
    <t>Machine preacher curl</t>
  </si>
  <si>
    <t>https://www.youtube.com/watch?v=Ja6ZlIDONac&amp;list=PLyqKj7LwU2Rt1cwOsHwdXa2TiRzjA6uoB&amp;index=15</t>
  </si>
  <si>
    <t>Rope twist curl</t>
  </si>
  <si>
    <t>https://www.youtube.com/watch?v=2CDKTFFp5fA&amp;list=PLyqKj7LwU2Rt1cwOsHwdXa2TiRzjA6uoB&amp;index=16</t>
  </si>
  <si>
    <t>Seated EZ bar overhead triceps extensions</t>
  </si>
  <si>
    <t>https://www.youtube.com/watch?v=gcRZqG8t44c&amp;list=PLyqKj7LwU2RtMd8vP3NEoig1RPJQK78Ea&amp;index=15</t>
  </si>
  <si>
    <t>Barbell skull crusher</t>
  </si>
  <si>
    <t>https://www.youtube.com/watch?v=l3rHYPtMUo8&amp;list=PLyqKj7LwU2RtMd8vP3NEoig1RPJQK78Ea&amp;index=3</t>
  </si>
  <si>
    <t>Barbell overhead triceps extensions</t>
  </si>
  <si>
    <t>https://www.youtube.com/watch?v=q5X9thiKofE&amp;list=PLyqKj7LwU2RtMd8vP3NEoig1RPJQK78Ea&amp;index=1</t>
  </si>
  <si>
    <t>EZ bar overhead triceps extensions</t>
  </si>
  <si>
    <t>https://www.youtube.com/watch?v=IdZ7HXnatko&amp;list=PLyqKj7LwU2RtMd8vP3NEoig1RPJQK78Ea&amp;index=9</t>
  </si>
  <si>
    <t>https://www.youtube.com/watch?v=4LA1kF7yCGo&amp;list=PLyqKj7LwU2RtMd8vP3NEoig1RPJQK78Ea&amp;index=7</t>
  </si>
  <si>
    <t>Assisted dips</t>
  </si>
  <si>
    <t>https://www.youtube.com/watch?v=yZ83t4mrPrI&amp;list=PLyqKj7LwU2RtMd8vP3NEoig1RPJQK78Ea&amp;index=2</t>
  </si>
  <si>
    <t>https://www.youtube.com/watch?v=-xa-6cQaZKY&amp;list=PLyqKj7LwU2RtMd8vP3NEoig1RPJQK78Ea&amp;index=14</t>
  </si>
  <si>
    <t>https://www.youtube.com/watch?v=6Fzep104f0s&amp;list=PLyqKj7LwU2RtMd8vP3NEoig1RPJQK78Ea&amp;index=6</t>
  </si>
  <si>
    <t>https://www.youtube.com/watch?v=jPjhQ2hsAds&amp;list=PLyqKj7LwU2RtMd8vP3NEoig1RPJQK78Ea&amp;index=8</t>
  </si>
  <si>
    <t>Cable overhead triceps extensions</t>
  </si>
  <si>
    <t>https://www.youtube.com/watch?v=1u18yJELsh0&amp;list=PLyqKj7LwU2RtMd8vP3NEoig1RPJQK78Ea&amp;index=4</t>
  </si>
  <si>
    <t>Machine triceps pushdown</t>
  </si>
  <si>
    <t>https://www.youtube.com/watch?v=OChuGyCSC7U&amp;list=PLyqKj7LwU2RtMd8vP3NEoig1RPJQK78Ea&amp;index=12</t>
  </si>
  <si>
    <t xml:space="preserve">Inverted skull crusher </t>
  </si>
  <si>
    <t>https://www.youtube.com/watch?v=1lrjpLuXH4w&amp;list=PLyqKj7LwU2RtMd8vP3NEoig1RPJQK78Ea&amp;index=10</t>
  </si>
  <si>
    <t>Cable single arm pushdown</t>
  </si>
  <si>
    <t>https://www.youtube.com/watch?v=Cp_bShvMY4c&amp;list=PLyqKj7LwU2RtMd8vP3NEoig1RPJQK78Ea&amp;index=5</t>
  </si>
  <si>
    <t>https://www.youtube.com/watch?v=Bx8ga1BLHLE&amp;list=PLyqKj7LwU2RtMd8vP3NEoig1RPJQK78Ea&amp;index=11</t>
  </si>
  <si>
    <t>https://www.youtube.com/watch?v=kqidUIf1eJE&amp;list=PLyqKj7LwU2RtMd8vP3NEoig1RPJQK78Ea&amp;index=13</t>
  </si>
  <si>
    <t>JM press</t>
  </si>
  <si>
    <t>https://www.youtube.com/watch?v=Tih5iHyELsE&amp;list=PLyqKj7LwU2RtMd8vP3NEoig1RPJQK78Ea&amp;index=16</t>
  </si>
  <si>
    <t>Seated barbell overhead triceps extensions</t>
  </si>
  <si>
    <t>https://www.youtube.com/watch?v=ktU2H0DDmwk&amp;list=PLyqKj7LwU2RtMd8vP3NEoig1RPJQK78Ea&amp;index=17</t>
  </si>
  <si>
    <t>Barbell shrug</t>
  </si>
  <si>
    <t>https://www.youtube.com/watch?v=M_MjF5Nm_h4&amp;list=PLyqKj7LwU2RvynkwL93EcfuPUaDrWNOEc&amp;index=2</t>
  </si>
  <si>
    <t>Smith machine shrug</t>
  </si>
  <si>
    <t>https://www.youtube.com/watch?v=cT5_GyOXIgE</t>
  </si>
  <si>
    <t>Dumbbell shrug</t>
  </si>
  <si>
    <t>https://www.youtube.com/watch?v=_t3lrPI6Ns4&amp;list=PLyqKj7LwU2RvynkwL93EcfuPUaDrWNOEc&amp;index=9</t>
  </si>
  <si>
    <t>Dumbbell bent shrug</t>
  </si>
  <si>
    <t>https://www.youtube.com/watch?v=5z7ZtboxbBY&amp;list=PLyqKj7LwU2RvynkwL93EcfuPUaDrWNOEc&amp;index=7</t>
  </si>
  <si>
    <t>Cable shrug</t>
  </si>
  <si>
    <t>https://www.youtube.com/watch?v=YykmcX2b-LY&amp;list=PLyqKj7LwU2RvynkwL93EcfuPUaDrWNOEc&amp;index=4</t>
  </si>
  <si>
    <t>Seated dumbbell shrug</t>
  </si>
  <si>
    <t>https://www.youtube.com/watch?v=zgToz5FiI-E&amp;list=PLyqKj7LwU2RvynkwL93EcfuPUaDrWNOEc&amp;index=10</t>
  </si>
  <si>
    <t>Dumbbell lean shrug</t>
  </si>
  <si>
    <t>Barbell bent shrug</t>
  </si>
  <si>
    <t>https://www.youtube.com/watch?v=d9daNDIXtK8&amp;list=PLyqKj7LwU2RvynkwL93EcfuPUaDrWNOEc&amp;index=1</t>
  </si>
  <si>
    <t>Cable bent shrug</t>
  </si>
  <si>
    <t>https://www.youtube.com/watch?v=nOn_Bz0zrwQ&amp;list=PLyqKj7LwU2RvynkwL93EcfuPUaDrWNOEc&amp;index=3</t>
  </si>
  <si>
    <t>Cable side shrug</t>
  </si>
  <si>
    <t>https://www.youtube.com/watch?v=2zaT3WAgZi0&amp;list=PLyqKj7LwU2RvynkwL93EcfuPUaDrWNOEc&amp;index=5</t>
  </si>
  <si>
    <t>Cable single arm shrug</t>
  </si>
  <si>
    <t>https://www.youtube.com/watch?v=BeIcUXQ3RDc&amp;list=PLyqKj7LwU2RvynkwL93EcfuPUaDrWNOEc&amp;index=6</t>
  </si>
  <si>
    <t>Hanging knee raises</t>
  </si>
  <si>
    <t>https://www.youtube.com/watch?v=RD_A-Z15ER4&amp;list=PLyqKj7LwU2RvTgEW_QlCCjtIL5d_KP_-I&amp;index=1</t>
  </si>
  <si>
    <t>Hanging straight leg raises</t>
  </si>
  <si>
    <t>https://www.youtube.com/watch?v=7FwGZ8qY5OU&amp;list=PLyqKj7LwU2RvTgEW_QlCCjtIL5d_KP_-I&amp;index=2</t>
  </si>
  <si>
    <t>https://www.youtube.com/watch?v=-OUSBPnHvsQ&amp;list=PLyqKj7LwU2RvTgEW_QlCCjtIL5d_KP_-I&amp;index=3</t>
  </si>
  <si>
    <t>Modified candlestick</t>
  </si>
  <si>
    <t>https://www.youtube.com/watch?v=T_X5rb3G5lk&amp;list=PLyqKj7LwU2RvTgEW_QlCCjtIL5d_KP_-I&amp;index=4</t>
  </si>
  <si>
    <t>https://www.youtube.com/watch?v=pXg8qppif7I&amp;list=PLyqKj7LwU2RvTgEW_QlCCjtIL5d_KP_-I&amp;index=5</t>
  </si>
  <si>
    <t>https://www.youtube.com/watch?v=6GMKPQVERzw&amp;list=PLyqKj7LwU2RvTgEW_QlCCjtIL5d_KP_-I&amp;index=6</t>
  </si>
  <si>
    <t>Slant board sit up</t>
  </si>
  <si>
    <t>https://www.youtube.com/watch?v=DAnTf16NcT0&amp;list=PLyqKj7LwU2RvTgEW_QlCCjtIL5d_KP_-I&amp;index=7</t>
  </si>
  <si>
    <t>V-up</t>
  </si>
  <si>
    <t>https://www.youtube.com/watch?v=BIOM5eSsJ_8&amp;list=PLyqKj7LwU2RvTgEW_QlCCjtIL5d_KP_-I&amp;index=8</t>
  </si>
  <si>
    <t>https://www.youtube.com/watch?v=WVAaKJvToe0&amp;list=PLyqKj7LwU2RvQpfrgpWoyz-Jj2Xog_3Zx&amp;index=1</t>
  </si>
  <si>
    <t>Dumbbell bench single wrist curl</t>
  </si>
  <si>
    <t>https://www.youtube.com/watch?v=2wPpcJBe03o&amp;list=PLyqKj7LwU2RvQpfrgpWoyz-Jj2Xog_3Zx&amp;index=2</t>
  </si>
  <si>
    <t>https://www.youtube.com/watch?v=iQ4JjOK73PE&amp;list=PLyqKj7LwU2RvQpfrgpWoyz-Jj2Xog_3Zx&amp;index=3</t>
  </si>
  <si>
    <t>https://www.youtube.com/watch?v=lfQR7oVS8eo&amp;list=PLyqKj7LwU2RvQpfrgpWoyz-Jj2Xog_3Zx&amp;index=4</t>
  </si>
  <si>
    <t>Reverse grip cable curls</t>
  </si>
  <si>
    <t>https://www.youtube.com/watch?v=HwB-DevuJjU</t>
  </si>
  <si>
    <t>category</t>
  </si>
  <si>
    <t>Name list</t>
  </si>
  <si>
    <t>ارداف</t>
  </si>
  <si>
    <t>رجل_خلفي_حوض_للوراء </t>
  </si>
  <si>
    <t>اكتاف_جانبي</t>
  </si>
  <si>
    <t>أكتاف_خلفي</t>
  </si>
  <si>
    <t>صدر_عزل</t>
  </si>
  <si>
    <t>صدر_علوي</t>
  </si>
  <si>
    <t>صدر_مستوي</t>
  </si>
  <si>
    <t> أرداف</t>
  </si>
  <si>
    <t>رجلين امامي</t>
  </si>
  <si>
    <t>سحب رأسي ظهر</t>
  </si>
  <si>
    <t>Hack squat</t>
  </si>
  <si>
    <t>Front squat</t>
  </si>
  <si>
    <t>High bar squat</t>
  </si>
  <si>
    <t>Sumo squat</t>
  </si>
  <si>
    <t>https://youtu.be/u8lo0lGPC6k</t>
  </si>
  <si>
    <t>Alternate V-ups</t>
  </si>
  <si>
    <t>https://youtu.be/a2dNtC17WRU</t>
  </si>
  <si>
    <t>Leg Pull in</t>
  </si>
  <si>
    <t>https://youtu.be/2zhFTw2epoc</t>
  </si>
  <si>
    <t>Alternate hell touches</t>
  </si>
  <si>
    <t>Crossbody crunches</t>
  </si>
  <si>
    <t>https://youtu.be/l4kQd9eWclE</t>
  </si>
  <si>
    <t>Lying leg raises</t>
  </si>
  <si>
    <t>Jackkinfe sit up</t>
  </si>
  <si>
    <t>https://youtu.be/CWOZyf8kaH0</t>
  </si>
  <si>
    <t>https://youtu.be/QOCn3_iOAro</t>
  </si>
  <si>
    <t>Plank tap</t>
  </si>
  <si>
    <t>Dumbbell two arm triceps kickacks</t>
  </si>
  <si>
    <t>https://www.youtube.com/watch?v=R291a-0hE9U</t>
  </si>
  <si>
    <t>https://vimeo.com/507808866</t>
  </si>
  <si>
    <t>Seated calve raises machine</t>
  </si>
  <si>
    <t>https://vimeo.com/132710870</t>
  </si>
  <si>
    <t>Dumbbell seated biceps curl</t>
  </si>
  <si>
    <t>https://vimeo.com/146713814</t>
  </si>
  <si>
    <t>Kneeling Hamstring Curl</t>
  </si>
  <si>
    <t>https://www.youtube.com/watch?v=DhqqhpWaqCE</t>
  </si>
  <si>
    <t>V-Squat Machine</t>
  </si>
  <si>
    <t>https://vimeo.com/423875765</t>
  </si>
  <si>
    <t>Dumbbell squat</t>
  </si>
  <si>
    <t>https://vimeo.com/385305100</t>
  </si>
  <si>
    <t>Goblet squat</t>
  </si>
  <si>
    <t>https://vimeo.com/388743371</t>
  </si>
  <si>
    <t>Chair squats</t>
  </si>
  <si>
    <t>https://vimeo.com/34543298</t>
  </si>
  <si>
    <t>Bodyweight assisted squat</t>
  </si>
  <si>
    <t>https://vimeo.com/239687672</t>
  </si>
  <si>
    <t>Bodyweight squat</t>
  </si>
  <si>
    <t>https://vimeo.com/273765981</t>
  </si>
  <si>
    <t>Dumbbell seated lateral raises</t>
  </si>
  <si>
    <t>https://vimeo.com/378230956</t>
  </si>
  <si>
    <t>Decline pushups</t>
  </si>
  <si>
    <t>https://vimeo.com/326552551</t>
  </si>
  <si>
    <t>Knee pushups</t>
  </si>
  <si>
    <t>https://youtu.be/WcHtt6zT3Go</t>
  </si>
  <si>
    <t>Bodyweight hip thrust</t>
  </si>
  <si>
    <t>https://www.youtube.com/watch?v=OAhvIWLC0rc</t>
  </si>
  <si>
    <t>Bodyweight walking lunges</t>
  </si>
  <si>
    <t>https://www.youtube.com/watch?v=T9H-wtFekMw</t>
  </si>
  <si>
    <t>Bodyweight glute bridges</t>
  </si>
  <si>
    <t>https://vimeo.com/185964194</t>
  </si>
  <si>
    <t>Single leg glute bridge</t>
  </si>
  <si>
    <t>https://vimeo.com/486812211</t>
  </si>
  <si>
    <t>Donkey bodyweight calve raises</t>
  </si>
  <si>
    <t>https://youtu.be/r30EoMPSNns</t>
  </si>
  <si>
    <t>Donkey machine calve raises</t>
  </si>
  <si>
    <t>Bodyweight bench dips</t>
  </si>
  <si>
    <t>https://vimeo.com/247695187</t>
  </si>
  <si>
    <t>Weighted bench dips</t>
  </si>
  <si>
    <t>https://vimeo.com/324432093</t>
  </si>
  <si>
    <t>الاسبوع السادس</t>
  </si>
  <si>
    <t>سحب أفقي حبال</t>
  </si>
  <si>
    <t>https://youtu.be/38z0Ic1zY7Q</t>
  </si>
  <si>
    <t>Bands pullover</t>
  </si>
  <si>
    <t>https://youtu.be/hsHWPGOE4V0</t>
  </si>
  <si>
    <t>Bands bent over row</t>
  </si>
  <si>
    <t>https://youtu.be/nImVcz1_gio</t>
  </si>
  <si>
    <t>Bands Two arm crossover bent over row</t>
  </si>
  <si>
    <t>https://youtu.be/8NlYwPOJvHU</t>
  </si>
  <si>
    <t>Band seated two arm rows</t>
  </si>
  <si>
    <t>https://youtu.be/6hpL2xoW08s</t>
  </si>
  <si>
    <t>Band one arm bench row</t>
  </si>
  <si>
    <t>https://youtu.be/bU6rYBZG42E</t>
  </si>
  <si>
    <t>Band seated one arm row</t>
  </si>
  <si>
    <t>https://youtu.be/Tz-eIqfB-1Y</t>
  </si>
  <si>
    <t>Band standing one arm row</t>
  </si>
  <si>
    <t>سحب رأسي حبال</t>
  </si>
  <si>
    <t>https://youtu.be/GwiTejyALwc</t>
  </si>
  <si>
    <t>Band lying pulldown</t>
  </si>
  <si>
    <t>https://youtu.be/yIF-3TG1wgM</t>
  </si>
  <si>
    <t>Band seated back high row</t>
  </si>
  <si>
    <t>https://vimeo.com/518377228</t>
  </si>
  <si>
    <t>Band half-kneeling lat pulldown</t>
  </si>
  <si>
    <t>https://vimeo.com/518377374</t>
  </si>
  <si>
    <t>Band standing straight arm lat pulldown</t>
  </si>
  <si>
    <t>https://youtu.be/_1KvfgURbpE</t>
  </si>
  <si>
    <t>Lying lat pulldown</t>
  </si>
  <si>
    <t>https://youtu.be/lJJEkmU_f3c</t>
  </si>
  <si>
    <t>Band wide grip lat pulldown</t>
  </si>
  <si>
    <t>https://youtu.be/K4VAFznrNLk</t>
  </si>
  <si>
    <t>Band kneeling straight arm pulldown</t>
  </si>
  <si>
    <t>https://youtu.be/a97YCwDFbHE</t>
  </si>
  <si>
    <t>Bands lat pulldown</t>
  </si>
  <si>
    <t>صدر مركب حبال</t>
  </si>
  <si>
    <t>https://vimeo.com/518376227</t>
  </si>
  <si>
    <t>Band decline chest press</t>
  </si>
  <si>
    <t>https://youtu.be/Yrd6ZLwSbos</t>
  </si>
  <si>
    <t>Band pushups</t>
  </si>
  <si>
    <t>https://youtu.be/dnviBQFAphE</t>
  </si>
  <si>
    <t>Band floor chest press</t>
  </si>
  <si>
    <t>https://youtu.be/O7dVvwEK9J4</t>
  </si>
  <si>
    <t>https://youtu.be/Me9bHFAxnCs</t>
  </si>
  <si>
    <t>Incline pushups</t>
  </si>
  <si>
    <t>https://youtu.be/mm6_WcoCVTA</t>
  </si>
  <si>
    <t>https://youtu.be/gmNlqsE3Onc</t>
  </si>
  <si>
    <t>https://vimeo.com/208383117</t>
  </si>
  <si>
    <t>Bands single arm alternating chest press with bench</t>
  </si>
  <si>
    <t>https://vimeo.com/208383079</t>
  </si>
  <si>
    <t>Bands chest press with bench</t>
  </si>
  <si>
    <t>https://vimeo.com/208383171</t>
  </si>
  <si>
    <t>Single arm alternating band chest press</t>
  </si>
  <si>
    <t>https://vimeo.com/208383186</t>
  </si>
  <si>
    <t>Two arm band incline chest press</t>
  </si>
  <si>
    <t>https://vimeo.com/27736922</t>
  </si>
  <si>
    <t>Two arm band chest press</t>
  </si>
  <si>
    <t>https://vimeo.com/401738694</t>
  </si>
  <si>
    <t>Single arm band chest press</t>
  </si>
  <si>
    <t>صدر عزل حبال</t>
  </si>
  <si>
    <t>https://vimeo.com/518376070</t>
  </si>
  <si>
    <t>Band decline two arm chest fly</t>
  </si>
  <si>
    <t>https://vimeo.com/518376947</t>
  </si>
  <si>
    <t>Band incline two arm chest fly</t>
  </si>
  <si>
    <t>https://youtu.be/IWcyh3VlQ7I</t>
  </si>
  <si>
    <t>Bands two arm chest fly</t>
  </si>
  <si>
    <t>https://vimeo.com/399848191</t>
  </si>
  <si>
    <t>Band single arm chest fly</t>
  </si>
  <si>
    <t>https://vimeo.com/366347958</t>
  </si>
  <si>
    <t>Half-kneeling band chest fly</t>
  </si>
  <si>
    <t>https://vimeo.com/208383097</t>
  </si>
  <si>
    <t>Band bench chest fly</t>
  </si>
  <si>
    <t>https://vimeo.com/208383153</t>
  </si>
  <si>
    <t>Band incline bench chest fly</t>
  </si>
  <si>
    <t>سواعد حبال</t>
  </si>
  <si>
    <t>https://www.youtube.com/watch?v=JL--tgGVzMI</t>
  </si>
  <si>
    <t>Band reverse curl</t>
  </si>
  <si>
    <t>https://youtu.be/9_fkz2Yvdd0</t>
  </si>
  <si>
    <t>Band behind wrist curls</t>
  </si>
  <si>
    <t>https://youtu.be/TG7fR02Efqo</t>
  </si>
  <si>
    <t>Band front wrist curls</t>
  </si>
  <si>
    <t>https://youtu.be/0U2BFdqBQ58</t>
  </si>
  <si>
    <t>Band seated single arm forearm curl</t>
  </si>
  <si>
    <t>https://youtu.be/FNlHyHYmYrc</t>
  </si>
  <si>
    <t>Band seated single arm reverse forearm curl</t>
  </si>
  <si>
    <t>سكوات حبال</t>
  </si>
  <si>
    <t>https://youtu.be/lplTnpym5jg</t>
  </si>
  <si>
    <t>Band single leg squat</t>
  </si>
  <si>
    <t>https://youtu.be/BSLozN2vATI</t>
  </si>
  <si>
    <t>Bodyweight sumo squats</t>
  </si>
  <si>
    <t>https://youtu.be/es2btc9aMv4</t>
  </si>
  <si>
    <t>Band Sumo squats</t>
  </si>
  <si>
    <t>https://vimeo.com/48989437</t>
  </si>
  <si>
    <t>Band squats</t>
  </si>
  <si>
    <t>https://vimeo.com/172361603</t>
  </si>
  <si>
    <t>Bodyweight Squats</t>
  </si>
  <si>
    <t>https://vimeo.com/407092494</t>
  </si>
  <si>
    <t>Looped band squats</t>
  </si>
  <si>
    <t>بطن منزلي</t>
  </si>
  <si>
    <t>https://youtu.be/MKmrqcoCZ-M</t>
  </si>
  <si>
    <t>Ab Crunch</t>
  </si>
  <si>
    <t>https://youtu.be/7s8-FEQm79I</t>
  </si>
  <si>
    <t>Band bench crunch</t>
  </si>
  <si>
    <t>https://youtu.be/5f3Ff_XhiAc</t>
  </si>
  <si>
    <t>Band crunch</t>
  </si>
  <si>
    <t>https://youtu.be/dGwIGkmy-n0</t>
  </si>
  <si>
    <t>Band knee pull</t>
  </si>
  <si>
    <t>https://youtu.be/AJwYT2gPLd0</t>
  </si>
  <si>
    <t>Band leg lift</t>
  </si>
  <si>
    <t>بطن حبال</t>
  </si>
  <si>
    <t>https://youtu.be/vZY3NV-bZqo</t>
  </si>
  <si>
    <t>Band toe touches</t>
  </si>
  <si>
    <t>بايسيبس حبال</t>
  </si>
  <si>
    <t>https://youtu.be/ybPm4clliqs</t>
  </si>
  <si>
    <t>Short band single arm biceps curl</t>
  </si>
  <si>
    <t>https://youtu.be/7PBGoEqcgc8</t>
  </si>
  <si>
    <t>Band seated preacher curl</t>
  </si>
  <si>
    <t>https://youtu.be/2x4Ob8WDMjk</t>
  </si>
  <si>
    <t>Band alternate biceps curl</t>
  </si>
  <si>
    <t>https://youtu.be/YCL7vtpeTI4</t>
  </si>
  <si>
    <t>Band two arm biceps curl</t>
  </si>
  <si>
    <t>https://youtu.be/G8dHuh08aJU</t>
  </si>
  <si>
    <t>Band high curl</t>
  </si>
  <si>
    <t>https://youtu.be/MrcpvuS738s</t>
  </si>
  <si>
    <t>Biceps lying curl</t>
  </si>
  <si>
    <t>https://youtu.be/RZG_4s7nlmA</t>
  </si>
  <si>
    <t>Band seated concentration curl</t>
  </si>
  <si>
    <t>أكتاف خلفي حبال</t>
  </si>
  <si>
    <t>https://youtu.be/KlTEgg1yv8M</t>
  </si>
  <si>
    <t>Band half-kneeling face pull</t>
  </si>
  <si>
    <t>https://youtu.be/Wq-Td9UXRK8</t>
  </si>
  <si>
    <t>Band standing face pull</t>
  </si>
  <si>
    <t>https://youtu.be/8TS775tZvKQ</t>
  </si>
  <si>
    <t>Band bent reverse fly</t>
  </si>
  <si>
    <t>https://youtu.be/TVTP8Q1T3K8</t>
  </si>
  <si>
    <t>Band reverse fly</t>
  </si>
  <si>
    <t>أكتاف أمامي حبال</t>
  </si>
  <si>
    <t>https://youtu.be/UB1EqxpFY78</t>
  </si>
  <si>
    <t>Band alternate front raises</t>
  </si>
  <si>
    <t>https://youtu.be/e7DJteoE66g</t>
  </si>
  <si>
    <t>Band arnold press</t>
  </si>
  <si>
    <t>https://youtu.be/MZ7hTLkxwGk</t>
  </si>
  <si>
    <t>Band incline front raises</t>
  </si>
  <si>
    <t>https://youtu.be/7xHND8-Mrus</t>
  </si>
  <si>
    <t>Band lying front raises</t>
  </si>
  <si>
    <t>https://youtu.be/lsjonJduQfY</t>
  </si>
  <si>
    <t>Band single front raises</t>
  </si>
  <si>
    <t>https://youtu.be/bcVKR_IPz4U</t>
  </si>
  <si>
    <t>Band two arm front raises</t>
  </si>
  <si>
    <t>https://youtu.be/ITf-9c78wdM</t>
  </si>
  <si>
    <t>Band single arm shoulder press</t>
  </si>
  <si>
    <t>https://youtu.be/lKaUTcyXER0</t>
  </si>
  <si>
    <t>Looped band shoulder press</t>
  </si>
  <si>
    <t>https://youtu.be/0rLjkQweIDg</t>
  </si>
  <si>
    <t>Band shoulder press</t>
  </si>
  <si>
    <t>ترايسيبس حبال</t>
  </si>
  <si>
    <t>https://youtu.be/VsE1PIF_59w</t>
  </si>
  <si>
    <t>https://youtu.be/HaYPm8JE74I</t>
  </si>
  <si>
    <t>Band alternate triceps pushdown</t>
  </si>
  <si>
    <t>https://youtu.be/Mj1coommANU</t>
  </si>
  <si>
    <t>Band bench lying triceps extensions</t>
  </si>
  <si>
    <t>https://youtu.be/x-9S-B8l8Mc</t>
  </si>
  <si>
    <t>Band bent over two arm triceps pushdown</t>
  </si>
  <si>
    <t>https://youtu.be/WHX478thJHE</t>
  </si>
  <si>
    <t>Band seated crossbody single arm triceps extensions</t>
  </si>
  <si>
    <t>https://youtu.be/RAds7xQE8BE</t>
  </si>
  <si>
    <t>Band incline triceps extensions</t>
  </si>
  <si>
    <t>https://youtu.be/7SLT2N8s3S0</t>
  </si>
  <si>
    <t>Band lying triceps extensions</t>
  </si>
  <si>
    <t>https://youtu.be/B9uVa1PHGvM</t>
  </si>
  <si>
    <t>Band seated two arm triceps kickbacks</t>
  </si>
  <si>
    <t>https://youtu.be/xZ-L1DJbkho</t>
  </si>
  <si>
    <t>Band two arm seated triceps extensions</t>
  </si>
  <si>
    <t>https://youtu.be/FGcU1ufTxn0</t>
  </si>
  <si>
    <t>Band single arm seated triceps extensions</t>
  </si>
  <si>
    <t>https://youtu.be/oOOqKURO0mU</t>
  </si>
  <si>
    <t>Band standing crossbody single arm triceps extensions</t>
  </si>
  <si>
    <t>https://youtu.be/dKRaKON0g3E</t>
  </si>
  <si>
    <t>Band overhead two arm triceps extensions</t>
  </si>
  <si>
    <t>https://youtu.be/WscHYo3_pPs</t>
  </si>
  <si>
    <t>Band two arm triceps pushdown</t>
  </si>
  <si>
    <t>https://youtu.be/5V4qrxlVhLw</t>
  </si>
  <si>
    <t>Band reverse grip two arm triceps pushdown</t>
  </si>
  <si>
    <t>أكتاف جانبي حبال</t>
  </si>
  <si>
    <t>https://youtu.be/DxdJmHo6opQ</t>
  </si>
  <si>
    <t>Band alternate lateral raises</t>
  </si>
  <si>
    <t>https://youtu.be/dKswaQc7EVY</t>
  </si>
  <si>
    <t>Band lying lateral raises</t>
  </si>
  <si>
    <t>https://youtu.be/xz9q5DUiC3I</t>
  </si>
  <si>
    <t>Band leaning lateral raises</t>
  </si>
  <si>
    <t>https://youtu.be/QqyKKd3dXGk</t>
  </si>
  <si>
    <t>Band lateral raises</t>
  </si>
  <si>
    <t>https://youtu.be/yfNg5sFndbw</t>
  </si>
  <si>
    <t>Band single arm lateral raises</t>
  </si>
  <si>
    <t>رجل خلفي حبال</t>
  </si>
  <si>
    <t>https://youtu.be/-dwKh9QzoKc</t>
  </si>
  <si>
    <t>Band standing hamstring curl</t>
  </si>
  <si>
    <t>https://youtu.be/CDW-DyUr6nk</t>
  </si>
  <si>
    <t>Bands good morning</t>
  </si>
  <si>
    <t>https://youtu.be/XYs67yyC4GQ</t>
  </si>
  <si>
    <t>Single leg deadlift</t>
  </si>
  <si>
    <t>https://youtu.be/LtTcXXgeRYo</t>
  </si>
  <si>
    <t>Lying band leg curl</t>
  </si>
  <si>
    <t>https://youtu.be/M_dUNslNjBU</t>
  </si>
  <si>
    <t>Seated band leg curl</t>
  </si>
  <si>
    <t>https://youtu.be/wklohZsolc4</t>
  </si>
  <si>
    <t>Band stiff leg deadlift</t>
  </si>
  <si>
    <t>Dumbbell hamstring curl</t>
  </si>
  <si>
    <t>https://youtu.be/_5DEdWpKYj4</t>
  </si>
  <si>
    <t>أرداف حبال</t>
  </si>
  <si>
    <t>https://youtu.be/8bbE64NuDTU</t>
  </si>
  <si>
    <t>https://youtu.be/GdSolgmyW68</t>
  </si>
  <si>
    <t>Band glute bridges</t>
  </si>
  <si>
    <t>https://youtu.be/a8f-c31u2GA</t>
  </si>
  <si>
    <t>Band pull through</t>
  </si>
  <si>
    <t>https://youtu.be/C2VF9mcs7Vo</t>
  </si>
  <si>
    <t>Bands stable lunge</t>
  </si>
  <si>
    <t>https://youtu.be/3NXv0Nany-Q</t>
  </si>
  <si>
    <t>Single let glute bridges</t>
  </si>
  <si>
    <t>https://youtu.be/rONpWaNIhE8</t>
  </si>
  <si>
    <t>Band glute kickback</t>
  </si>
  <si>
    <t>https://youtu.be/OAhvIWLC0rc</t>
  </si>
  <si>
    <t>https://youtu.be/3KKVWOATE-Q</t>
  </si>
  <si>
    <t>Single leg bodyweight hip thrust</t>
  </si>
  <si>
    <t>https://youtu.be/qEJUrVrxlSo</t>
  </si>
  <si>
    <t>Bands Bulgarian split squats</t>
  </si>
  <si>
    <t>https://youtu.be/aSJbKnDRIiQ</t>
  </si>
  <si>
    <t>Bodyweight Bulgarian split squats</t>
  </si>
  <si>
    <t>https://youtu.be/Khgyyrd_ig0</t>
  </si>
  <si>
    <t>Band reverse lunge</t>
  </si>
  <si>
    <t>https://vimeo.com/8827508</t>
  </si>
  <si>
    <t>Bodyweight split squats</t>
  </si>
  <si>
    <t>https://vimeo.com/427681792</t>
  </si>
  <si>
    <t>Walking lunges</t>
  </si>
  <si>
    <t>https://vimeo.com/427683800</t>
  </si>
  <si>
    <t>Bodyweight stable lunges</t>
  </si>
  <si>
    <t>البطات حبال</t>
  </si>
  <si>
    <t>https://youtu.be/-c39P9V64tU</t>
  </si>
  <si>
    <t>Band calve raises</t>
  </si>
  <si>
    <t>https://youtu.be/JHRQUogqGbY</t>
  </si>
  <si>
    <t>Bodyweight Single leg calve raises</t>
  </si>
  <si>
    <t>https://youtu.be/fQiMiUHWubw</t>
  </si>
  <si>
    <t>Bodyweight calve raises</t>
  </si>
  <si>
    <t>Donkey calve raises</t>
  </si>
  <si>
    <t>مثلثات حبال</t>
  </si>
  <si>
    <t>https://youtu.be/Z_cFkKqCiUE</t>
  </si>
  <si>
    <t>Single band shrugs</t>
  </si>
  <si>
    <t>https://youtu.be/DnTRsL2UHCU</t>
  </si>
  <si>
    <t>Band side shrugs</t>
  </si>
  <si>
    <t>ظهر دامبل</t>
  </si>
  <si>
    <t>https://youtu.be/gLogcYIvgRA</t>
  </si>
  <si>
    <t>Dumbbell deadlift</t>
  </si>
  <si>
    <t>صدر مركب دامبل</t>
  </si>
  <si>
    <t>https://youtu.be/5QFjmotLfW4</t>
  </si>
  <si>
    <t>https://youtu.be/td-4lC0tXKA</t>
  </si>
  <si>
    <t>Single arm dumbbell chest press</t>
  </si>
  <si>
    <t>صدر عزل دامبل</t>
  </si>
  <si>
    <t>سواعد دامبل</t>
  </si>
  <si>
    <t>https://youtu.be/-brgostlPJ8</t>
  </si>
  <si>
    <t>Dumbbell reverse grip curls</t>
  </si>
  <si>
    <t>سكوات دامبل</t>
  </si>
  <si>
    <t>https://www.youtube.com/watch?v=hxMHSb09mNk</t>
  </si>
  <si>
    <t>Dumbbell sumo squat</t>
  </si>
  <si>
    <t>https://youtu.be/kZvSaq192cg</t>
  </si>
  <si>
    <t>Weighted sit ups</t>
  </si>
  <si>
    <t>بايسيبس دامبل</t>
  </si>
  <si>
    <t>https://youtu.be/0AUGkch3tzc</t>
  </si>
  <si>
    <t>Dumbbell concentration curl</t>
  </si>
  <si>
    <t>أكتاف خلفي دامبل</t>
  </si>
  <si>
    <t>أكتاف أمامي دامبل</t>
  </si>
  <si>
    <t>https://youtu.be/NVfNit_7Tuo</t>
  </si>
  <si>
    <t>Seated dumbbell arnold press</t>
  </si>
  <si>
    <t>ترايسيبس دامبل</t>
  </si>
  <si>
    <t>https://youtu.be/J0DnG1_S92I</t>
  </si>
  <si>
    <t>Diamond pushups</t>
  </si>
  <si>
    <t>https://youtu.be/9Lpwk3nLve8</t>
  </si>
  <si>
    <t>Tate press</t>
  </si>
  <si>
    <t>https://youtu.be/z3sm6YgpJho</t>
  </si>
  <si>
    <t>Dumbbell two arm triceps kickback</t>
  </si>
  <si>
    <t>Dumbbell one arm triceps kickback</t>
  </si>
  <si>
    <t>https://youtu.be/F3w6m0aENVQ</t>
  </si>
  <si>
    <t>Seated dumbbell single arm overhead triceps extensions</t>
  </si>
  <si>
    <t>https://youtu.be/_gsUck-7M74</t>
  </si>
  <si>
    <t>Standing dumbbell single arm overhead triceps extensions</t>
  </si>
  <si>
    <t>https://youtu.be/YbX7Wd8jQ-Q</t>
  </si>
  <si>
    <t xml:space="preserve">Seated dumbbell two overhead triceps extensions </t>
  </si>
  <si>
    <t>https://youtu.be/-Vyt2QdsR7E</t>
  </si>
  <si>
    <t xml:space="preserve">Standing dumbbell two arm overhead extensions </t>
  </si>
  <si>
    <t>أكتاف جانبي دامبل</t>
  </si>
  <si>
    <t>https://www.youtube.com/watch?v=FGQ07Sb_D5Y</t>
  </si>
  <si>
    <t>Leaning dumbbell lateral raises</t>
  </si>
  <si>
    <t>Seated dumbbell lateral raises</t>
  </si>
  <si>
    <t>رجل خلفي دامبل</t>
  </si>
  <si>
    <t>أرداف دامبل</t>
  </si>
  <si>
    <t>Bulgarian split squats(Glutes)</t>
  </si>
  <si>
    <t>https://youtu.be/29OfN4ztW_g</t>
  </si>
  <si>
    <t>Dumbbell hip thrust</t>
  </si>
  <si>
    <t>البطات دامبل</t>
  </si>
  <si>
    <t>https://youtu.be/wwy3BSUjlW4</t>
  </si>
  <si>
    <t>Standing dumbbell calve raises</t>
  </si>
  <si>
    <t>https://youtu.be/YhiXK53vde0</t>
  </si>
  <si>
    <t>Seated calve raises</t>
  </si>
  <si>
    <t>Bodyweight donkey calve raises</t>
  </si>
  <si>
    <t>مثلثات دامبل</t>
  </si>
  <si>
    <t>https://www.youtube.com/watch?v=r30EoMPSNns&amp;feature=youtu.be</t>
  </si>
  <si>
    <t>ظهر حبال</t>
  </si>
  <si>
    <t>صدر عزل حبال</t>
  </si>
  <si>
    <t>أكتاف خلفي حبال</t>
  </si>
  <si>
    <t>اكتاف جانبي حبال</t>
  </si>
  <si>
    <t> رجل خلفي حبال</t>
  </si>
  <si>
    <t>صدر عزل دامبل</t>
  </si>
  <si>
    <t>أكتاف خلفي دامبل</t>
  </si>
  <si>
    <t>اكتاف جانبي دامبل</t>
  </si>
  <si>
    <t> رجل خلفي دامبل</t>
  </si>
  <si>
    <t>Table Name</t>
  </si>
  <si>
    <t>Sumo deadlift</t>
  </si>
  <si>
    <t>أرداف</t>
  </si>
  <si>
    <t>سحب أفقي ظهر</t>
  </si>
  <si>
    <t>يمكنك كتابة ملاحظاتك عن التمرين في الخانات في الأسفل</t>
  </si>
  <si>
    <t>الاسبوع الأول</t>
  </si>
  <si>
    <t>5) هذه فقط تعليمات عامة فيمكنك أخذ راحة أطول أو أقل من المكتوب. خذ الراحة التي تجعلك تلعب الجولة التي بعدها بقوة</t>
  </si>
  <si>
    <t>الزيادة التدريجية</t>
  </si>
  <si>
    <t>التقيم</t>
  </si>
  <si>
    <t xml:space="preserve">6) اختر وزن الاسبوع الذي قبله وحاول زيادة التكرارات عن المدى المطلوب في جميع الجولات. ان استطعت عمل ذلك زد الوزن في الاسبوع الذي يليه. طبق هذه التعليمات لجميع الأسابيع. </t>
  </si>
  <si>
    <t>7) سجل تقيم الزيادة التدريجية
عند الضغط على الخانة الفارغة سيمكنك اختيار الأرقام
( 0 =  لم استطع زيادة الأوزان و/أو التكرارات مقارنة في الاسبوع الذي قبله )
( 1 =  استطعت زيادة الأوزان و/أو التكرارات مقارنة في الاسبوع الذي قبله )</t>
  </si>
  <si>
    <t>This training program is fully programmed and designed by Mohammad Almarzouq
Instagram: M_almarzouq7</t>
  </si>
  <si>
    <t>اسم التمرين</t>
  </si>
  <si>
    <t>اليوم الأول - دفع</t>
  </si>
  <si>
    <t>اليوم الثاني - سحب</t>
  </si>
  <si>
    <t>اليوم الرابع - راحة</t>
  </si>
  <si>
    <t>مدى التكرارات</t>
  </si>
  <si>
    <t>60-120 ثانية</t>
  </si>
  <si>
    <t>اليوم الخامس - علوي</t>
  </si>
  <si>
    <t>أكتاف جانبي</t>
  </si>
  <si>
    <t>اليوم الثالث - سفلي + كتف جانبي</t>
  </si>
  <si>
    <t>Chest</t>
  </si>
  <si>
    <t>Back</t>
  </si>
  <si>
    <t>Biceps</t>
  </si>
  <si>
    <t>Triceps</t>
  </si>
  <si>
    <t>Quads</t>
  </si>
  <si>
    <t>Hamstring</t>
  </si>
  <si>
    <t>Forearms</t>
  </si>
  <si>
    <t>Muscle group sets</t>
  </si>
  <si>
    <t>Calves</t>
  </si>
  <si>
    <t>Abs</t>
  </si>
  <si>
    <t>Traps</t>
  </si>
  <si>
    <t>Glutes</t>
  </si>
  <si>
    <t>Total all</t>
  </si>
  <si>
    <t>Total main</t>
  </si>
  <si>
    <t>الاسبوع السابع</t>
  </si>
  <si>
    <t>الاسبوع الثامن</t>
  </si>
  <si>
    <t>الاسبوع التاسع</t>
  </si>
  <si>
    <t>الاسبوع العاشر</t>
  </si>
  <si>
    <t>الاسبوع الحادي عشر</t>
  </si>
  <si>
    <r>
      <t xml:space="preserve">اختر </t>
    </r>
    <r>
      <rPr>
        <b/>
        <u/>
        <sz val="11"/>
        <color theme="2"/>
        <rFont val="Calibri"/>
        <family val="2"/>
        <scheme val="major"/>
      </rPr>
      <t>نفس</t>
    </r>
    <r>
      <rPr>
        <b/>
        <sz val="11"/>
        <color theme="2"/>
        <rFont val="Calibri"/>
        <family val="2"/>
        <scheme val="major"/>
      </rPr>
      <t xml:space="preserve"> وزن الاسبوع </t>
    </r>
    <r>
      <rPr>
        <b/>
        <u/>
        <sz val="11"/>
        <color theme="2"/>
        <rFont val="Calibri"/>
        <family val="2"/>
        <scheme val="major"/>
      </rPr>
      <t>الأخير</t>
    </r>
  </si>
  <si>
    <r>
      <t xml:space="preserve">التكرارات </t>
    </r>
    <r>
      <rPr>
        <b/>
        <u/>
        <sz val="11"/>
        <color theme="2"/>
        <rFont val="Calibri"/>
        <family val="2"/>
        <scheme val="major"/>
      </rPr>
      <t>نصف</t>
    </r>
    <r>
      <rPr>
        <b/>
        <sz val="11"/>
        <color theme="2"/>
        <rFont val="Calibri"/>
        <family val="2"/>
        <scheme val="major"/>
      </rPr>
      <t xml:space="preserve"> الاسبوع </t>
    </r>
    <r>
      <rPr>
        <b/>
        <u/>
        <sz val="11"/>
        <color theme="2"/>
        <rFont val="Calibri"/>
        <family val="2"/>
        <scheme val="major"/>
      </rPr>
      <t>الأخير</t>
    </r>
  </si>
  <si>
    <t>اليوم السادس - أكتاف + رجلين</t>
  </si>
  <si>
    <t>Front delts</t>
  </si>
  <si>
    <t>Side delts</t>
  </si>
  <si>
    <t>Rear delts</t>
  </si>
  <si>
    <t>Machine slide crunch</t>
  </si>
  <si>
    <t>Machine full crunch</t>
  </si>
  <si>
    <t>https://www.youtube.com/watch?v=V7p_DmkYLZw</t>
  </si>
  <si>
    <t>إذا كان التمرين أول تمرين لعضلة جديدة  (اول تمرين للصدر) فستلعب جولتين للتسخين، أول جولة تكون بوزن خفيف (50% من الوزن المعتاد) وثاني جولة بوزن أعلى بقليل (75% من الوزن المعتاد) بدون الوصول للإجهاد العضلي ومن ثم تبدأ التمرين الأساسي. اذا كان التمرين ليس الأول لنفس العضلة فيمكنك الإكتفاء بلعب جولة واحدة فقط تكون بنسبة 75% من الوزن المعتاد عليه. اذا كانت العضلة صغيرة وثانوية كالسواعد والمثلثات فيمكن الإكتفاء بجولة واحدة. التكرارات التي ستلعبها بالوزن 50% او 75% تكون في نفس نطاق التكرارات المحدد في الأسفل. الكارديو كالمشي غير الزامي قبل التمرين، يمكنك لعبه بشدة خفيفه 5  الى 10 دقائق لو تشعر بأنه يفيدك لتتجهز للتمرين.</t>
  </si>
  <si>
    <t>1) تم اختيار التمارين بشكل مسبق، ولكن يمكنك التغير في التمارين لو أردت من خلال الضغط على اسم التمرين الموضح باللغة الانجليزية.</t>
  </si>
  <si>
    <t>3) تختار الوزن الذي يجعلك تصل لمرحلة الإجهاد العضلي بين مدى التكرارات المطلوب. فلو لعبت أول جولة واستطعت لعب أكثر من المدى المطلوب زد الوزن ولو لم تستطع لعب المدى من أول جولة خفف الوزن</t>
  </si>
  <si>
    <t>4) ضع فاصلة بين الجولات وسجل بهذه الطريقة:
12,10,9</t>
  </si>
  <si>
    <t>ملاحظات هامة</t>
  </si>
  <si>
    <t>2) اضغط لمشاهدة
الفيديو التوضيحي
ملاحظة هامة: قم بعمل التمرين بنفس التكنيك الموجود في الفيديو تماماً (نفس المدى الحركي) وأيضا نفس السرعة</t>
  </si>
  <si>
    <t xml:space="preserve"> إذا أردت تجديد الإشتراك، يرجى التواصل معي قبل الإنتهاء من جدول التمرين ب5 أيام وطلب التجديد حتى يمكنني إرسال الجدول في الوقت ولا تتأخر في الجدول</t>
  </si>
  <si>
    <t>هذا الأسبوع الأخير ويليه اسبوع خفيف حاول أن تتمرن بأقصى ما لديك لتحصل على أقصى فائدة !</t>
  </si>
  <si>
    <t>الهدف أن يكون التمرين خفيفاً  ليريح الجسم لكي تستطيع التمرين بقوة في الخطة القادمة، لا تصل للإجهاد العضلي في الديلود ولا تترك الديلود :)</t>
  </si>
  <si>
    <t>6-12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</si>
</sst>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font>
    <font>
      <b/>
      <sz val="10"/>
      <color rgb="FF000000"/>
      <name val="Roboto"/>
    </font>
    <font>
      <sz val="10"/>
      <color rgb="FF000000"/>
      <name val="Arial"/>
      <family val="2"/>
    </font>
    <font>
      <b/>
      <sz val="10"/>
      <color theme="0"/>
      <name val="Arial"/>
      <family val="2"/>
    </font>
    <font>
      <u/>
      <sz val="10"/>
      <color theme="10"/>
      <name val="Arial"/>
      <family val="2"/>
    </font>
    <font>
      <sz val="13"/>
      <color rgb="FF222222"/>
      <name val="Arial"/>
      <family val="2"/>
    </font>
    <font>
      <sz val="13"/>
      <color rgb="FF222222"/>
      <name val="Menlo"/>
    </font>
    <font>
      <sz val="9"/>
      <color rgb="FF000000"/>
      <name val="Consolas"/>
      <family val="3"/>
    </font>
    <font>
      <sz val="12"/>
      <color rgb="FF222222"/>
      <name val="Arial"/>
      <family val="2"/>
    </font>
    <font>
      <b/>
      <sz val="14"/>
      <color rgb="FF000000"/>
      <name val="Calibri"/>
      <family val="2"/>
      <scheme val="major"/>
    </font>
    <font>
      <sz val="10"/>
      <color rgb="FF000000"/>
      <name val="Calibri"/>
      <family val="2"/>
      <scheme val="major"/>
    </font>
    <font>
      <sz val="10"/>
      <color theme="1"/>
      <name val="Calibri"/>
      <family val="2"/>
      <scheme val="major"/>
    </font>
    <font>
      <b/>
      <sz val="12"/>
      <color theme="1"/>
      <name val="Calibri"/>
      <family val="2"/>
      <scheme val="major"/>
    </font>
    <font>
      <b/>
      <sz val="8"/>
      <color rgb="FF000000"/>
      <name val="Calibri"/>
      <family val="2"/>
      <scheme val="major"/>
    </font>
    <font>
      <b/>
      <sz val="11"/>
      <color theme="2"/>
      <name val="Calibri"/>
      <family val="2"/>
      <scheme val="major"/>
    </font>
    <font>
      <b/>
      <sz val="12"/>
      <color rgb="FF000000"/>
      <name val="Calibri"/>
      <family val="2"/>
      <scheme val="major"/>
    </font>
    <font>
      <b/>
      <sz val="11"/>
      <color theme="1"/>
      <name val="Calibri"/>
      <family val="2"/>
      <scheme val="major"/>
    </font>
    <font>
      <b/>
      <sz val="16"/>
      <color rgb="FF000000"/>
      <name val="Calibri"/>
      <family val="2"/>
      <scheme val="major"/>
    </font>
    <font>
      <b/>
      <sz val="11"/>
      <color rgb="FF000000"/>
      <name val="Calibri"/>
      <family val="2"/>
      <scheme val="major"/>
    </font>
    <font>
      <b/>
      <sz val="26"/>
      <color rgb="FF000000"/>
      <name val="Calibri"/>
      <family val="2"/>
      <scheme val="major"/>
    </font>
    <font>
      <b/>
      <sz val="12"/>
      <color theme="2"/>
      <name val="Calibri"/>
      <family val="2"/>
      <scheme val="major"/>
    </font>
    <font>
      <b/>
      <sz val="18"/>
      <color rgb="FF000000"/>
      <name val="Calibri"/>
      <family val="2"/>
      <scheme val="major"/>
    </font>
    <font>
      <sz val="20"/>
      <color rgb="FF000000"/>
      <name val="Calibri"/>
      <family val="2"/>
      <scheme val="major"/>
    </font>
    <font>
      <b/>
      <sz val="20"/>
      <color rgb="FF000000"/>
      <name val="Calibri"/>
      <family val="2"/>
      <scheme val="major"/>
    </font>
    <font>
      <sz val="20"/>
      <name val="Calibri"/>
      <family val="2"/>
      <scheme val="major"/>
    </font>
    <font>
      <sz val="20"/>
      <color theme="1"/>
      <name val="Calibri"/>
      <family val="2"/>
      <scheme val="major"/>
    </font>
    <font>
      <sz val="11"/>
      <color theme="1"/>
      <name val="Calibri"/>
      <family val="2"/>
      <scheme val="major"/>
    </font>
    <font>
      <b/>
      <sz val="10"/>
      <color rgb="FF000000"/>
      <name val="Calibri"/>
      <family val="2"/>
      <scheme val="major"/>
    </font>
    <font>
      <u/>
      <sz val="10"/>
      <color theme="10"/>
      <name val="Calibri"/>
      <family val="2"/>
      <scheme val="major"/>
    </font>
    <font>
      <b/>
      <sz val="12"/>
      <color rgb="FFFFFFFF"/>
      <name val="Calibri"/>
      <family val="2"/>
      <scheme val="major"/>
    </font>
    <font>
      <b/>
      <sz val="11"/>
      <color rgb="FFFFFFFF"/>
      <name val="Calibri"/>
      <family val="2"/>
      <scheme val="major"/>
    </font>
    <font>
      <b/>
      <sz val="14"/>
      <name val="Calibri"/>
      <family val="2"/>
      <scheme val="major"/>
    </font>
    <font>
      <b/>
      <u/>
      <sz val="10"/>
      <color rgb="FF000000"/>
      <name val="Calibri"/>
      <family val="2"/>
      <scheme val="major"/>
    </font>
    <font>
      <b/>
      <sz val="10"/>
      <color theme="2"/>
      <name val="Calibri"/>
      <family val="2"/>
      <scheme val="major"/>
    </font>
    <font>
      <b/>
      <sz val="10"/>
      <name val="Calibri"/>
      <family val="2"/>
      <scheme val="major"/>
    </font>
    <font>
      <sz val="8"/>
      <name val="Arial"/>
      <family val="2"/>
    </font>
    <font>
      <b/>
      <u/>
      <sz val="11"/>
      <color theme="2"/>
      <name val="Calibri"/>
      <family val="2"/>
      <scheme val="major"/>
    </font>
    <font>
      <b/>
      <sz val="24"/>
      <color theme="1"/>
      <name val="Calibri"/>
      <family val="2"/>
      <scheme val="major"/>
    </font>
    <font>
      <b/>
      <sz val="20"/>
      <color theme="1"/>
      <name val="Calibri"/>
      <family val="2"/>
      <scheme val="major"/>
    </font>
    <font>
      <b/>
      <sz val="28"/>
      <color rgb="FF000000"/>
      <name val="Calibri"/>
      <family val="2"/>
      <scheme val="major"/>
    </font>
    <font>
      <b/>
      <sz val="24"/>
      <color rgb="FF000000"/>
      <name val="Calibri"/>
      <family val="2"/>
      <scheme val="major"/>
    </font>
  </fonts>
  <fills count="27">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FFFF00"/>
        <bgColor rgb="FFFFFFFF"/>
      </patternFill>
    </fill>
    <fill>
      <patternFill patternType="solid">
        <fgColor theme="0"/>
        <bgColor rgb="FFFFFFFF"/>
      </patternFill>
    </fill>
    <fill>
      <patternFill patternType="solid">
        <fgColor rgb="FFFFFF00"/>
        <bgColor indexed="64"/>
      </patternFill>
    </fill>
    <fill>
      <patternFill patternType="solid">
        <fgColor theme="0"/>
        <bgColor indexed="64"/>
      </patternFill>
    </fill>
    <fill>
      <patternFill patternType="solid">
        <fgColor theme="2"/>
        <bgColor rgb="FFFFFFFF"/>
      </patternFill>
    </fill>
    <fill>
      <patternFill patternType="solid">
        <fgColor theme="2"/>
        <bgColor indexed="64"/>
      </patternFill>
    </fill>
    <fill>
      <patternFill patternType="solid">
        <fgColor theme="1"/>
        <bgColor rgb="FF000000"/>
      </patternFill>
    </fill>
    <fill>
      <patternFill patternType="solid">
        <fgColor theme="4"/>
        <bgColor theme="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4" tint="0.59999389629810485"/>
        <bgColor rgb="FFFFFFFF"/>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D9BF1"/>
        <bgColor indexed="64"/>
      </patternFill>
    </fill>
    <fill>
      <patternFill patternType="solid">
        <fgColor theme="5" tint="0.59999389629810485"/>
        <bgColor rgb="FFFFFFFF"/>
      </patternFill>
    </fill>
    <fill>
      <patternFill patternType="solid">
        <fgColor theme="9" tint="0.39997558519241921"/>
        <bgColor rgb="FFFFFFFF"/>
      </patternFill>
    </fill>
    <fill>
      <patternFill patternType="solid">
        <fgColor theme="7" tint="0.59999389629810485"/>
        <bgColor rgb="FFFFFFFF"/>
      </patternFill>
    </fill>
    <fill>
      <patternFill patternType="solid">
        <fgColor rgb="FFFF7D7D"/>
        <bgColor rgb="FFFFFFFF"/>
      </patternFill>
    </fill>
    <fill>
      <patternFill patternType="solid">
        <fgColor rgb="FF92D050"/>
        <bgColor indexed="64"/>
      </patternFill>
    </fill>
    <fill>
      <patternFill patternType="solid">
        <fgColor rgb="FF92D050"/>
        <bgColor rgb="FFFFFFFF"/>
      </patternFill>
    </fill>
    <fill>
      <patternFill patternType="solid">
        <fgColor rgb="FFFF4B4B"/>
        <bgColor rgb="FFFFFFFF"/>
      </patternFill>
    </fill>
    <fill>
      <patternFill patternType="solid">
        <fgColor theme="9" tint="0.59999389629810485"/>
        <bgColor rgb="FFFFFFFF"/>
      </patternFill>
    </fill>
    <fill>
      <patternFill patternType="solid">
        <fgColor theme="1"/>
        <bgColor indexed="64"/>
      </patternFill>
    </fill>
  </fills>
  <borders count="66">
    <border>
      <left/>
      <right/>
      <top/>
      <bottom/>
      <diagonal/>
    </border>
    <border>
      <left/>
      <right/>
      <top/>
      <bottom/>
      <diagonal/>
    </border>
    <border>
      <left style="thin">
        <color rgb="FF666666"/>
      </left>
      <right/>
      <top style="thin">
        <color rgb="FF666666"/>
      </top>
      <bottom/>
      <diagonal/>
    </border>
    <border>
      <left/>
      <right/>
      <top style="thin">
        <color rgb="FF666666"/>
      </top>
      <bottom/>
      <diagonal/>
    </border>
    <border>
      <left/>
      <right style="thin">
        <color rgb="FF666666"/>
      </right>
      <top/>
      <bottom/>
      <diagonal/>
    </border>
    <border>
      <left/>
      <right/>
      <top/>
      <bottom/>
      <diagonal/>
    </border>
    <border>
      <left/>
      <right style="thin">
        <color rgb="FF666666"/>
      </right>
      <top style="thin">
        <color rgb="FF666666"/>
      </top>
      <bottom/>
      <diagonal/>
    </border>
    <border>
      <left/>
      <right/>
      <top/>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style="thin">
        <color rgb="FF666666"/>
      </left>
      <right style="thin">
        <color rgb="FF666666"/>
      </right>
      <top style="thin">
        <color rgb="FF000000"/>
      </top>
      <bottom style="thin">
        <color rgb="FF666666"/>
      </bottom>
      <diagonal/>
    </border>
    <border>
      <left style="thin">
        <color rgb="FF666666"/>
      </left>
      <right style="thin">
        <color rgb="FF666666"/>
      </right>
      <top style="thin">
        <color rgb="FF666666"/>
      </top>
      <bottom style="thin">
        <color rgb="FF666666"/>
      </bottom>
      <diagonal/>
    </border>
    <border>
      <left style="thin">
        <color rgb="FF666666"/>
      </left>
      <right/>
      <top style="thin">
        <color rgb="FF666666"/>
      </top>
      <bottom style="thin">
        <color rgb="FF000000"/>
      </bottom>
      <diagonal/>
    </border>
    <border>
      <left/>
      <right/>
      <top style="thin">
        <color rgb="FF666666"/>
      </top>
      <bottom style="thin">
        <color rgb="FF000000"/>
      </bottom>
      <diagonal/>
    </border>
    <border>
      <left/>
      <right style="thin">
        <color rgb="FF666666"/>
      </right>
      <top style="thin">
        <color rgb="FF666666"/>
      </top>
      <bottom style="thin">
        <color rgb="FF000000"/>
      </bottom>
      <diagonal/>
    </border>
    <border>
      <left/>
      <right/>
      <top/>
      <bottom/>
      <diagonal/>
    </border>
    <border>
      <left style="thin">
        <color rgb="FF666666"/>
      </left>
      <right style="thin">
        <color rgb="FF666666"/>
      </right>
      <top/>
      <bottom style="thin">
        <color rgb="FF666666"/>
      </bottom>
      <diagonal/>
    </border>
    <border>
      <left style="thin">
        <color indexed="64"/>
      </left>
      <right style="thin">
        <color indexed="64"/>
      </right>
      <top style="thin">
        <color indexed="64"/>
      </top>
      <bottom style="thin">
        <color indexed="64"/>
      </bottom>
      <diagonal/>
    </border>
    <border>
      <left style="thin">
        <color rgb="FF666666"/>
      </left>
      <right style="thin">
        <color rgb="FF000000"/>
      </right>
      <top/>
      <bottom style="thin">
        <color rgb="FF666666"/>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bottom style="thin">
        <color rgb="FF666666"/>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medium">
        <color rgb="FFCCCCCC"/>
      </left>
      <right style="medium">
        <color rgb="FFCCCCCC"/>
      </right>
      <top style="medium">
        <color rgb="FFCCCCCC"/>
      </top>
      <bottom style="medium">
        <color rgb="FFCCCCCC"/>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rgb="FF666666"/>
      </left>
      <right/>
      <top/>
      <bottom style="thin">
        <color rgb="FF666666"/>
      </bottom>
      <diagonal/>
    </border>
    <border>
      <left style="thin">
        <color rgb="FF666666"/>
      </left>
      <right/>
      <top style="thin">
        <color rgb="FF000000"/>
      </top>
      <bottom style="thin">
        <color rgb="FF666666"/>
      </bottom>
      <diagonal/>
    </border>
    <border>
      <left/>
      <right style="thin">
        <color theme="4" tint="0.39997558519241921"/>
      </right>
      <top/>
      <bottom style="thin">
        <color theme="4" tint="0.39997558519241921"/>
      </bottom>
      <diagonal/>
    </border>
    <border>
      <left style="medium">
        <color rgb="FFCCCCCC"/>
      </left>
      <right style="medium">
        <color rgb="FFCCCCCC"/>
      </right>
      <top style="medium">
        <color rgb="FFCCCCCC"/>
      </top>
      <bottom/>
      <diagonal/>
    </border>
    <border>
      <left/>
      <right style="thin">
        <color rgb="FF666666"/>
      </right>
      <top/>
      <bottom style="thin">
        <color rgb="FF66666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right style="thin">
        <color rgb="FF666666"/>
      </right>
      <top style="thin">
        <color rgb="FF000000"/>
      </top>
      <bottom style="thin">
        <color rgb="FF666666"/>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style="thin">
        <color rgb="FF666666"/>
      </bottom>
      <diagonal/>
    </border>
    <border>
      <left/>
      <right/>
      <top style="thin">
        <color rgb="FF000000"/>
      </top>
      <bottom style="thin">
        <color rgb="FF66666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666666"/>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4" fillId="0" borderId="0" applyNumberFormat="0" applyFill="0" applyBorder="0" applyAlignment="0" applyProtection="0"/>
    <xf numFmtId="0" fontId="2" fillId="0" borderId="17"/>
    <xf numFmtId="0" fontId="4" fillId="0" borderId="17" applyNumberFormat="0" applyFill="0" applyBorder="0" applyAlignment="0" applyProtection="0"/>
  </cellStyleXfs>
  <cellXfs count="293">
    <xf numFmtId="0" fontId="0" fillId="0" borderId="0" xfId="0"/>
    <xf numFmtId="0" fontId="2" fillId="0" borderId="17" xfId="2"/>
    <xf numFmtId="0" fontId="5" fillId="0" borderId="17" xfId="2" applyFont="1"/>
    <xf numFmtId="0" fontId="4" fillId="0" borderId="17" xfId="3" applyAlignment="1">
      <alignment vertical="center"/>
    </xf>
    <xf numFmtId="0" fontId="8" fillId="0" borderId="17" xfId="2" applyFont="1" applyAlignment="1">
      <alignment vertical="center"/>
    </xf>
    <xf numFmtId="0" fontId="8" fillId="0" borderId="17" xfId="2" applyFont="1"/>
    <xf numFmtId="0" fontId="5" fillId="12" borderId="29" xfId="2" applyFont="1" applyFill="1" applyBorder="1"/>
    <xf numFmtId="0" fontId="4" fillId="0" borderId="17" xfId="3" applyAlignment="1"/>
    <xf numFmtId="0" fontId="5" fillId="0" borderId="29" xfId="2" applyFont="1" applyBorder="1"/>
    <xf numFmtId="0" fontId="4" fillId="0" borderId="17" xfId="3" applyAlignment="1">
      <alignment horizontal="right" vertical="center"/>
    </xf>
    <xf numFmtId="0" fontId="5" fillId="0" borderId="17" xfId="2" applyFont="1" applyAlignment="1">
      <alignment vertical="center"/>
    </xf>
    <xf numFmtId="0" fontId="5" fillId="0" borderId="30" xfId="2" applyFont="1" applyBorder="1"/>
    <xf numFmtId="0" fontId="4" fillId="12" borderId="26" xfId="3" applyFill="1" applyBorder="1" applyAlignment="1">
      <alignment horizontal="right" vertical="center"/>
    </xf>
    <xf numFmtId="0" fontId="5" fillId="12" borderId="26" xfId="2" applyFont="1" applyFill="1" applyBorder="1"/>
    <xf numFmtId="0" fontId="4" fillId="0" borderId="26" xfId="3" applyBorder="1" applyAlignment="1">
      <alignment horizontal="right" vertical="center"/>
    </xf>
    <xf numFmtId="0" fontId="5" fillId="0" borderId="26" xfId="2" applyFont="1" applyBorder="1"/>
    <xf numFmtId="0" fontId="4" fillId="0" borderId="17" xfId="3" applyAlignment="1">
      <alignment horizontal="left" vertical="center" indent="10"/>
    </xf>
    <xf numFmtId="0" fontId="4" fillId="0" borderId="17" xfId="3"/>
    <xf numFmtId="0" fontId="5" fillId="12" borderId="30" xfId="2" applyFont="1" applyFill="1" applyBorder="1"/>
    <xf numFmtId="0" fontId="4" fillId="0" borderId="29" xfId="3" applyBorder="1"/>
    <xf numFmtId="0" fontId="4" fillId="12" borderId="29" xfId="3" applyFill="1" applyBorder="1" applyAlignment="1">
      <alignment vertical="center"/>
    </xf>
    <xf numFmtId="0" fontId="4" fillId="0" borderId="27" xfId="3" applyBorder="1" applyAlignment="1">
      <alignment horizontal="right" vertical="center"/>
    </xf>
    <xf numFmtId="0" fontId="5" fillId="0" borderId="27" xfId="2" applyFont="1" applyBorder="1"/>
    <xf numFmtId="0" fontId="4" fillId="0" borderId="17" xfId="3" applyBorder="1" applyAlignment="1">
      <alignment horizontal="right" vertical="center"/>
    </xf>
    <xf numFmtId="0" fontId="4" fillId="0" borderId="32" xfId="3" applyBorder="1" applyAlignment="1">
      <alignment horizontal="right" vertical="center"/>
    </xf>
    <xf numFmtId="0" fontId="5" fillId="0" borderId="31" xfId="2" applyFont="1" applyBorder="1"/>
    <xf numFmtId="0" fontId="4" fillId="12" borderId="32" xfId="3" applyFill="1" applyBorder="1" applyAlignment="1">
      <alignment horizontal="right" vertical="center"/>
    </xf>
    <xf numFmtId="0" fontId="5" fillId="12" borderId="31" xfId="2" applyFont="1" applyFill="1" applyBorder="1"/>
    <xf numFmtId="0" fontId="2" fillId="13" borderId="17" xfId="2" applyFill="1"/>
    <xf numFmtId="0" fontId="4" fillId="0" borderId="29" xfId="3" applyBorder="1" applyAlignment="1">
      <alignment vertical="center"/>
    </xf>
    <xf numFmtId="0" fontId="4" fillId="0" borderId="17" xfId="3" applyBorder="1" applyAlignment="1">
      <alignment vertical="center"/>
    </xf>
    <xf numFmtId="0" fontId="4" fillId="0" borderId="27" xfId="3" applyBorder="1" applyAlignment="1">
      <alignment vertical="center"/>
    </xf>
    <xf numFmtId="0" fontId="4" fillId="0" borderId="26" xfId="3" applyBorder="1"/>
    <xf numFmtId="0" fontId="4" fillId="12" borderId="26" xfId="3" applyFill="1" applyBorder="1"/>
    <xf numFmtId="0" fontId="4" fillId="0" borderId="26" xfId="3" applyBorder="1" applyAlignment="1">
      <alignment vertical="center"/>
    </xf>
    <xf numFmtId="0" fontId="4" fillId="0" borderId="29" xfId="3" applyBorder="1" applyAlignment="1">
      <alignment horizontal="right" vertical="center"/>
    </xf>
    <xf numFmtId="0" fontId="4" fillId="12" borderId="29" xfId="3" applyFill="1" applyBorder="1" applyAlignment="1"/>
    <xf numFmtId="0" fontId="4" fillId="0" borderId="17" xfId="3" applyAlignment="1">
      <alignment horizontal="left" vertical="center" indent="5"/>
    </xf>
    <xf numFmtId="0" fontId="2" fillId="6" borderId="17" xfId="2" applyFill="1"/>
    <xf numFmtId="0" fontId="4" fillId="0" borderId="17" xfId="3" applyAlignment="1">
      <alignment horizontal="left" vertical="center" indent="2"/>
    </xf>
    <xf numFmtId="0" fontId="4" fillId="0" borderId="29" xfId="3" applyBorder="1" applyAlignment="1"/>
    <xf numFmtId="0" fontId="4" fillId="12" borderId="17" xfId="3" applyFill="1" applyBorder="1" applyAlignment="1">
      <alignment horizontal="right" vertical="center"/>
    </xf>
    <xf numFmtId="0" fontId="4" fillId="12" borderId="29" xfId="3" applyFill="1" applyBorder="1" applyAlignment="1">
      <alignment horizontal="left" vertical="center" indent="5"/>
    </xf>
    <xf numFmtId="0" fontId="4" fillId="0" borderId="29" xfId="3" applyBorder="1" applyAlignment="1">
      <alignment horizontal="left" vertical="center" indent="5"/>
    </xf>
    <xf numFmtId="0" fontId="5" fillId="12" borderId="17" xfId="2" applyFont="1" applyFill="1"/>
    <xf numFmtId="0" fontId="6" fillId="0" borderId="17" xfId="2" applyFont="1"/>
    <xf numFmtId="0" fontId="7" fillId="0" borderId="17" xfId="2" applyFont="1" applyAlignment="1">
      <alignment horizontal="right" vertical="center" indent="1"/>
    </xf>
    <xf numFmtId="0" fontId="7" fillId="0" borderId="36" xfId="2" applyFont="1" applyBorder="1" applyAlignment="1">
      <alignment horizontal="right" vertical="center" indent="1"/>
    </xf>
    <xf numFmtId="0" fontId="7" fillId="0" borderId="28" xfId="2" applyFont="1" applyBorder="1" applyAlignment="1">
      <alignment horizontal="right" vertical="center" indent="1"/>
    </xf>
    <xf numFmtId="0" fontId="4" fillId="12" borderId="26" xfId="3" applyFill="1" applyBorder="1" applyAlignment="1">
      <alignment vertical="center"/>
    </xf>
    <xf numFmtId="0" fontId="4" fillId="0" borderId="26" xfId="3" applyBorder="1" applyAlignment="1"/>
    <xf numFmtId="0" fontId="4" fillId="12" borderId="26" xfId="3" applyFill="1" applyBorder="1" applyAlignment="1"/>
    <xf numFmtId="0" fontId="2" fillId="9" borderId="17" xfId="2" applyFill="1"/>
    <xf numFmtId="0" fontId="4" fillId="0" borderId="26" xfId="3" applyBorder="1" applyAlignment="1">
      <alignment horizontal="left" vertical="center" indent="10"/>
    </xf>
    <xf numFmtId="0" fontId="4" fillId="0" borderId="17" xfId="3" applyFill="1" applyBorder="1" applyAlignment="1">
      <alignment vertical="center"/>
    </xf>
    <xf numFmtId="0" fontId="4" fillId="12" borderId="27" xfId="3" applyFill="1" applyBorder="1" applyAlignment="1">
      <alignment vertical="center"/>
    </xf>
    <xf numFmtId="0" fontId="4" fillId="12" borderId="17" xfId="3" applyFill="1" applyBorder="1" applyAlignment="1">
      <alignment vertical="center"/>
    </xf>
    <xf numFmtId="0" fontId="4" fillId="12" borderId="27" xfId="3" applyFill="1" applyBorder="1" applyAlignment="1">
      <alignment horizontal="right" vertical="center"/>
    </xf>
    <xf numFmtId="0" fontId="3" fillId="11" borderId="25" xfId="2" applyFont="1" applyFill="1" applyBorder="1"/>
    <xf numFmtId="0" fontId="1" fillId="2" borderId="18" xfId="2" applyFont="1" applyFill="1" applyBorder="1" applyAlignment="1">
      <alignment horizontal="center" wrapText="1"/>
    </xf>
    <xf numFmtId="0" fontId="8" fillId="0" borderId="26" xfId="2" applyFont="1" applyBorder="1"/>
    <xf numFmtId="0" fontId="8" fillId="12" borderId="26" xfId="2" applyFont="1" applyFill="1" applyBorder="1" applyAlignment="1">
      <alignment vertical="center"/>
    </xf>
    <xf numFmtId="0" fontId="8" fillId="0" borderId="26" xfId="2" applyFont="1" applyBorder="1" applyAlignment="1">
      <alignment vertical="center"/>
    </xf>
    <xf numFmtId="0" fontId="3" fillId="11" borderId="35" xfId="2" applyFont="1" applyFill="1" applyBorder="1"/>
    <xf numFmtId="0" fontId="5" fillId="12" borderId="27" xfId="2" applyFont="1" applyFill="1" applyBorder="1"/>
    <xf numFmtId="0" fontId="4" fillId="12" borderId="32" xfId="3" applyFill="1" applyBorder="1" applyAlignment="1">
      <alignment vertical="center"/>
    </xf>
    <xf numFmtId="0" fontId="4" fillId="0" borderId="27" xfId="3" applyBorder="1"/>
    <xf numFmtId="0" fontId="4" fillId="12" borderId="27" xfId="3" applyFill="1" applyBorder="1"/>
    <xf numFmtId="0" fontId="8" fillId="12" borderId="26" xfId="2" applyFont="1" applyFill="1" applyBorder="1"/>
    <xf numFmtId="0" fontId="8" fillId="12" borderId="27" xfId="2" applyFont="1" applyFill="1" applyBorder="1" applyAlignment="1">
      <alignment vertical="center"/>
    </xf>
    <xf numFmtId="0" fontId="8" fillId="0" borderId="27" xfId="2" applyFont="1" applyBorder="1" applyAlignment="1">
      <alignment vertical="center"/>
    </xf>
    <xf numFmtId="0" fontId="5" fillId="12" borderId="27" xfId="2" applyFont="1" applyFill="1" applyBorder="1" applyAlignment="1">
      <alignment vertical="center"/>
    </xf>
    <xf numFmtId="0" fontId="8" fillId="0" borderId="27" xfId="2" applyFont="1" applyBorder="1"/>
    <xf numFmtId="49" fontId="27" fillId="2" borderId="11" xfId="0" applyNumberFormat="1" applyFont="1" applyFill="1" applyBorder="1" applyAlignment="1" applyProtection="1">
      <alignment horizontal="center" vertical="center" wrapText="1"/>
      <protection locked="0"/>
    </xf>
    <xf numFmtId="49" fontId="27" fillId="2" borderId="12" xfId="0" applyNumberFormat="1" applyFont="1" applyFill="1" applyBorder="1" applyAlignment="1" applyProtection="1">
      <alignment horizontal="center" vertical="center" wrapText="1"/>
      <protection locked="0"/>
    </xf>
    <xf numFmtId="1" fontId="27" fillId="2" borderId="12" xfId="0" applyNumberFormat="1" applyFont="1" applyFill="1" applyBorder="1" applyAlignment="1" applyProtection="1">
      <alignment horizontal="center" vertical="center" wrapText="1"/>
      <protection locked="0"/>
    </xf>
    <xf numFmtId="49" fontId="27" fillId="2" borderId="33" xfId="0" applyNumberFormat="1" applyFont="1" applyFill="1" applyBorder="1" applyAlignment="1" applyProtection="1">
      <alignment horizontal="center" vertical="center" wrapText="1"/>
      <protection locked="0"/>
    </xf>
    <xf numFmtId="49" fontId="27" fillId="2" borderId="34" xfId="0" applyNumberFormat="1" applyFont="1" applyFill="1" applyBorder="1" applyAlignment="1" applyProtection="1">
      <alignment horizontal="center" vertical="center" wrapText="1"/>
      <protection locked="0"/>
    </xf>
    <xf numFmtId="1" fontId="27" fillId="2" borderId="34" xfId="0" applyNumberFormat="1" applyFont="1" applyFill="1" applyBorder="1" applyAlignment="1" applyProtection="1">
      <alignment horizontal="center" vertical="center" wrapText="1"/>
      <protection locked="0"/>
    </xf>
    <xf numFmtId="0" fontId="33" fillId="26" borderId="17" xfId="0" applyFont="1" applyFill="1" applyBorder="1" applyAlignment="1">
      <alignment horizontal="center" vertical="center"/>
    </xf>
    <xf numFmtId="0" fontId="10" fillId="0" borderId="19" xfId="0" applyFont="1" applyBorder="1" applyAlignment="1">
      <alignment horizontal="center" vertical="center"/>
    </xf>
    <xf numFmtId="0" fontId="27" fillId="2" borderId="17" xfId="0" applyFont="1" applyFill="1" applyBorder="1" applyAlignment="1">
      <alignment horizontal="center" vertical="center" wrapText="1"/>
    </xf>
    <xf numFmtId="0" fontId="10" fillId="0" borderId="0" xfId="0" applyFont="1" applyAlignment="1">
      <alignment horizontal="center" vertical="center"/>
    </xf>
    <xf numFmtId="0" fontId="27" fillId="2" borderId="11" xfId="0" applyFont="1" applyFill="1" applyBorder="1" applyAlignment="1">
      <alignment horizontal="center" vertical="center" wrapText="1"/>
    </xf>
    <xf numFmtId="49" fontId="27" fillId="2" borderId="12" xfId="0" applyNumberFormat="1" applyFont="1" applyFill="1" applyBorder="1" applyAlignment="1">
      <alignment horizontal="center" vertical="center" wrapText="1"/>
    </xf>
    <xf numFmtId="0" fontId="13" fillId="2" borderId="1"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17" xfId="0" applyFont="1" applyFill="1" applyBorder="1" applyAlignment="1">
      <alignment horizontal="center" vertical="center"/>
    </xf>
    <xf numFmtId="0" fontId="25" fillId="8" borderId="17" xfId="0" applyFont="1" applyFill="1" applyBorder="1" applyAlignment="1">
      <alignment horizontal="center" vertical="center"/>
    </xf>
    <xf numFmtId="0" fontId="14" fillId="10" borderId="20" xfId="0" applyFont="1" applyFill="1" applyBorder="1" applyAlignment="1">
      <alignment horizontal="center" vertical="center"/>
    </xf>
    <xf numFmtId="0" fontId="14" fillId="10" borderId="24" xfId="0" applyFont="1" applyFill="1" applyBorder="1" applyAlignment="1">
      <alignment horizontal="center" vertical="center"/>
    </xf>
    <xf numFmtId="0" fontId="14" fillId="10" borderId="37" xfId="0" applyFont="1" applyFill="1" applyBorder="1" applyAlignment="1">
      <alignment horizontal="center" vertical="center"/>
    </xf>
    <xf numFmtId="1" fontId="27" fillId="2" borderId="17" xfId="0" applyNumberFormat="1" applyFont="1" applyFill="1" applyBorder="1" applyAlignment="1">
      <alignment horizontal="center" vertical="center" wrapText="1"/>
    </xf>
    <xf numFmtId="0" fontId="27" fillId="2" borderId="17" xfId="0" applyFont="1" applyFill="1" applyBorder="1" applyAlignment="1">
      <alignment horizontal="center" vertical="center" wrapText="1" readingOrder="2"/>
    </xf>
    <xf numFmtId="0" fontId="27" fillId="2" borderId="17" xfId="0" applyFont="1" applyFill="1" applyBorder="1" applyAlignment="1">
      <alignment horizontal="center" vertical="center"/>
    </xf>
    <xf numFmtId="0" fontId="27" fillId="2" borderId="18" xfId="0" applyFont="1" applyFill="1" applyBorder="1" applyAlignment="1">
      <alignment horizontal="center" vertical="center" wrapText="1"/>
    </xf>
    <xf numFmtId="49" fontId="27" fillId="2" borderId="49" xfId="0" applyNumberFormat="1" applyFont="1" applyFill="1" applyBorder="1" applyAlignment="1" applyProtection="1">
      <alignment horizontal="center" vertical="center" wrapText="1"/>
      <protection locked="0"/>
    </xf>
    <xf numFmtId="0" fontId="34" fillId="2" borderId="19" xfId="0" applyFont="1" applyFill="1" applyBorder="1" applyAlignment="1">
      <alignment horizontal="center" vertical="center" wrapText="1"/>
    </xf>
    <xf numFmtId="0" fontId="26" fillId="5" borderId="17" xfId="0" applyFont="1" applyFill="1" applyBorder="1" applyAlignment="1">
      <alignment horizontal="center" vertical="center"/>
    </xf>
    <xf numFmtId="1" fontId="27" fillId="2" borderId="18" xfId="0" applyNumberFormat="1" applyFont="1" applyFill="1" applyBorder="1" applyAlignment="1" applyProtection="1">
      <alignment horizontal="center" vertical="center" wrapText="1"/>
      <protection locked="0"/>
    </xf>
    <xf numFmtId="49" fontId="27" fillId="2" borderId="19" xfId="0" applyNumberFormat="1" applyFont="1" applyFill="1" applyBorder="1" applyAlignment="1" applyProtection="1">
      <alignment horizontal="center" vertical="center" wrapText="1"/>
      <protection locked="0"/>
    </xf>
    <xf numFmtId="1" fontId="27" fillId="2" borderId="19" xfId="0" applyNumberFormat="1" applyFont="1" applyFill="1" applyBorder="1" applyAlignment="1" applyProtection="1">
      <alignment horizontal="center" vertical="center" wrapText="1"/>
      <protection locked="0"/>
    </xf>
    <xf numFmtId="49" fontId="34" fillId="2" borderId="19" xfId="0" applyNumberFormat="1" applyFont="1" applyFill="1" applyBorder="1" applyAlignment="1">
      <alignment horizontal="center" vertical="center" wrapText="1"/>
    </xf>
    <xf numFmtId="49" fontId="27" fillId="2" borderId="19" xfId="0" applyNumberFormat="1" applyFont="1" applyFill="1" applyBorder="1" applyAlignment="1">
      <alignment horizontal="center" vertical="center" wrapText="1"/>
    </xf>
    <xf numFmtId="49" fontId="27" fillId="2" borderId="54" xfId="0" applyNumberFormat="1" applyFont="1" applyFill="1" applyBorder="1" applyAlignment="1" applyProtection="1">
      <alignment horizontal="center" vertical="center" wrapText="1"/>
      <protection locked="0"/>
    </xf>
    <xf numFmtId="49" fontId="27" fillId="2" borderId="55" xfId="0" applyNumberFormat="1" applyFont="1" applyFill="1" applyBorder="1" applyAlignment="1" applyProtection="1">
      <alignment horizontal="center" vertical="center" wrapText="1"/>
      <protection locked="0"/>
    </xf>
    <xf numFmtId="1" fontId="27" fillId="2" borderId="55" xfId="0" applyNumberFormat="1" applyFont="1" applyFill="1" applyBorder="1" applyAlignment="1" applyProtection="1">
      <alignment horizontal="center" vertical="center" wrapText="1"/>
      <protection locked="0"/>
    </xf>
    <xf numFmtId="0" fontId="27" fillId="18" borderId="22" xfId="0" applyFont="1" applyFill="1" applyBorder="1" applyAlignment="1" applyProtection="1">
      <alignment horizontal="center" vertical="center" wrapText="1" readingOrder="2"/>
      <protection locked="0"/>
    </xf>
    <xf numFmtId="0" fontId="14" fillId="10" borderId="4" xfId="0" applyFont="1" applyFill="1" applyBorder="1" applyAlignment="1">
      <alignment horizontal="center" vertical="center"/>
    </xf>
    <xf numFmtId="0" fontId="27" fillId="2" borderId="19" xfId="0" applyFont="1" applyFill="1" applyBorder="1" applyAlignment="1">
      <alignment horizontal="center" vertical="center" wrapText="1" readingOrder="2"/>
    </xf>
    <xf numFmtId="0" fontId="12" fillId="0" borderId="17" xfId="0" applyFont="1" applyBorder="1" applyAlignment="1">
      <alignment horizontal="center" vertical="center" wrapText="1"/>
    </xf>
    <xf numFmtId="0" fontId="11" fillId="0" borderId="17" xfId="0" applyFont="1" applyBorder="1" applyAlignment="1">
      <alignment horizontal="center" vertical="center"/>
    </xf>
    <xf numFmtId="0" fontId="11" fillId="2" borderId="17" xfId="0" applyFont="1" applyFill="1" applyBorder="1" applyAlignment="1">
      <alignment horizontal="center" vertical="center"/>
    </xf>
    <xf numFmtId="0" fontId="12" fillId="4" borderId="17" xfId="0" applyFont="1" applyFill="1" applyBorder="1" applyAlignment="1">
      <alignment horizontal="center" vertical="center"/>
    </xf>
    <xf numFmtId="0" fontId="12" fillId="0" borderId="17" xfId="0" applyFont="1" applyBorder="1" applyAlignment="1">
      <alignment horizontal="center" vertical="center"/>
    </xf>
    <xf numFmtId="0" fontId="20" fillId="8" borderId="17" xfId="0" applyFont="1" applyFill="1" applyBorder="1" applyAlignment="1">
      <alignment horizontal="center" vertical="center"/>
    </xf>
    <xf numFmtId="0" fontId="16" fillId="5" borderId="17" xfId="0" applyFont="1" applyFill="1" applyBorder="1" applyAlignment="1">
      <alignment horizontal="center" vertical="center"/>
    </xf>
    <xf numFmtId="0" fontId="11" fillId="2" borderId="1" xfId="0" applyFont="1" applyFill="1" applyBorder="1" applyAlignment="1">
      <alignment horizontal="center" vertical="center"/>
    </xf>
    <xf numFmtId="0" fontId="20" fillId="10" borderId="19" xfId="0" applyFont="1" applyFill="1" applyBorder="1" applyAlignment="1">
      <alignment horizontal="center" vertical="center"/>
    </xf>
    <xf numFmtId="0" fontId="14" fillId="10" borderId="19" xfId="0" applyFont="1" applyFill="1" applyBorder="1" applyAlignment="1">
      <alignment horizontal="center" vertical="center"/>
    </xf>
    <xf numFmtId="0" fontId="14" fillId="10" borderId="53" xfId="0" applyFont="1" applyFill="1" applyBorder="1" applyAlignment="1">
      <alignment horizontal="center" vertical="center"/>
    </xf>
    <xf numFmtId="0" fontId="14" fillId="10" borderId="17" xfId="0" applyFont="1" applyFill="1" applyBorder="1" applyAlignment="1">
      <alignment horizontal="center" vertical="center"/>
    </xf>
    <xf numFmtId="0" fontId="27" fillId="2" borderId="13" xfId="0" applyFont="1" applyFill="1" applyBorder="1" applyAlignment="1">
      <alignment horizontal="center" vertical="center" wrapText="1"/>
    </xf>
    <xf numFmtId="0" fontId="27" fillId="2" borderId="11" xfId="0" quotePrefix="1" applyFont="1" applyFill="1" applyBorder="1" applyAlignment="1">
      <alignment horizontal="center" vertical="center" wrapText="1"/>
    </xf>
    <xf numFmtId="0" fontId="27" fillId="19" borderId="11" xfId="0" applyFont="1" applyFill="1" applyBorder="1" applyAlignment="1" applyProtection="1">
      <alignment horizontal="center" vertical="center" wrapText="1"/>
      <protection locked="0"/>
    </xf>
    <xf numFmtId="0" fontId="28" fillId="14" borderId="18" xfId="1" applyFont="1" applyFill="1" applyBorder="1" applyAlignment="1" applyProtection="1">
      <alignment horizontal="center" vertical="center" wrapText="1"/>
    </xf>
    <xf numFmtId="0" fontId="27" fillId="2" borderId="10" xfId="0" applyFont="1" applyFill="1" applyBorder="1" applyAlignment="1">
      <alignment horizontal="center" vertical="center" wrapText="1"/>
    </xf>
    <xf numFmtId="0" fontId="29" fillId="3" borderId="8" xfId="0" applyFont="1" applyFill="1" applyBorder="1" applyAlignment="1">
      <alignment horizontal="center" vertical="center"/>
    </xf>
    <xf numFmtId="0" fontId="30" fillId="3" borderId="9" xfId="0" applyFont="1" applyFill="1" applyBorder="1" applyAlignment="1">
      <alignment horizontal="center" vertical="center"/>
    </xf>
    <xf numFmtId="0" fontId="30" fillId="3" borderId="10" xfId="0" applyFont="1" applyFill="1" applyBorder="1" applyAlignment="1">
      <alignment horizontal="center" vertical="center"/>
    </xf>
    <xf numFmtId="0" fontId="27" fillId="8" borderId="17" xfId="0" applyFont="1" applyFill="1" applyBorder="1" applyAlignment="1">
      <alignment horizontal="center" vertical="center" wrapText="1"/>
    </xf>
    <xf numFmtId="0" fontId="28" fillId="2" borderId="17" xfId="1" applyFont="1" applyFill="1" applyBorder="1" applyAlignment="1" applyProtection="1">
      <alignment horizontal="center" vertical="center" wrapText="1"/>
    </xf>
    <xf numFmtId="0" fontId="14" fillId="10" borderId="58" xfId="0" applyFont="1" applyFill="1" applyBorder="1" applyAlignment="1">
      <alignment horizontal="center" vertical="center"/>
    </xf>
    <xf numFmtId="0" fontId="27" fillId="2" borderId="19" xfId="0" applyFont="1" applyFill="1" applyBorder="1" applyAlignment="1">
      <alignment horizontal="center" vertical="center" wrapText="1"/>
    </xf>
    <xf numFmtId="0" fontId="32" fillId="2" borderId="17" xfId="0" applyFont="1" applyFill="1" applyBorder="1" applyAlignment="1">
      <alignment horizontal="center" vertical="center" wrapText="1"/>
    </xf>
    <xf numFmtId="49" fontId="27" fillId="2" borderId="17" xfId="0" applyNumberFormat="1" applyFont="1" applyFill="1" applyBorder="1" applyAlignment="1">
      <alignment horizontal="center" vertical="center" wrapText="1"/>
    </xf>
    <xf numFmtId="0" fontId="13" fillId="0" borderId="17" xfId="0" applyFont="1" applyBorder="1" applyAlignment="1">
      <alignment horizontal="center" vertical="center"/>
    </xf>
    <xf numFmtId="0" fontId="10" fillId="9" borderId="17" xfId="0" applyFont="1" applyFill="1" applyBorder="1" applyAlignment="1">
      <alignment horizontal="center" vertical="center"/>
    </xf>
    <xf numFmtId="0" fontId="10" fillId="0" borderId="17" xfId="0" applyFont="1" applyBorder="1" applyAlignment="1">
      <alignment horizontal="center" vertical="center"/>
    </xf>
    <xf numFmtId="0" fontId="9" fillId="0" borderId="17" xfId="0" applyFont="1" applyBorder="1" applyAlignment="1">
      <alignment horizontal="center" vertical="center"/>
    </xf>
    <xf numFmtId="0" fontId="18" fillId="0" borderId="17" xfId="0" applyFont="1" applyBorder="1" applyAlignment="1">
      <alignment horizontal="center" vertical="center" wrapText="1" readingOrder="2"/>
    </xf>
    <xf numFmtId="0" fontId="17" fillId="0" borderId="17" xfId="0" applyFont="1" applyBorder="1" applyAlignment="1">
      <alignment horizontal="center" vertical="center"/>
    </xf>
    <xf numFmtId="0" fontId="21" fillId="9" borderId="17" xfId="0" applyFont="1" applyFill="1" applyBorder="1" applyAlignment="1">
      <alignment horizontal="center" vertical="center" wrapText="1"/>
    </xf>
    <xf numFmtId="0" fontId="11" fillId="2" borderId="5" xfId="0" applyFont="1" applyFill="1" applyBorder="1" applyAlignment="1">
      <alignment horizontal="center" vertical="center"/>
    </xf>
    <xf numFmtId="0" fontId="22" fillId="0" borderId="0" xfId="0" applyFont="1" applyAlignment="1">
      <alignment horizontal="center" vertical="center"/>
    </xf>
    <xf numFmtId="0" fontId="22" fillId="9" borderId="0" xfId="0" applyFont="1" applyFill="1" applyAlignment="1">
      <alignment horizontal="center" vertical="center"/>
    </xf>
    <xf numFmtId="0" fontId="25" fillId="8" borderId="7" xfId="0" applyFont="1" applyFill="1" applyBorder="1" applyAlignment="1">
      <alignment horizontal="center" vertical="center"/>
    </xf>
    <xf numFmtId="0" fontId="10" fillId="7" borderId="0" xfId="0" applyFont="1" applyFill="1" applyAlignment="1">
      <alignment horizontal="center" vertical="center"/>
    </xf>
    <xf numFmtId="0" fontId="0" fillId="0" borderId="0" xfId="0" applyAlignment="1">
      <alignment horizontal="center" vertical="center"/>
    </xf>
    <xf numFmtId="0" fontId="34" fillId="2" borderId="19" xfId="0" applyFont="1" applyFill="1" applyBorder="1" applyAlignment="1">
      <alignment horizontal="center" vertical="center" wrapText="1" readingOrder="2"/>
    </xf>
    <xf numFmtId="0" fontId="23" fillId="0" borderId="17" xfId="0" applyFont="1" applyBorder="1" applyAlignment="1">
      <alignment horizontal="center" vertical="center"/>
    </xf>
    <xf numFmtId="0" fontId="33" fillId="0" borderId="17" xfId="0" applyFont="1" applyBorder="1" applyAlignment="1">
      <alignment horizontal="center" vertical="center"/>
    </xf>
    <xf numFmtId="0" fontId="27" fillId="0" borderId="17" xfId="0" applyFont="1" applyBorder="1" applyAlignment="1">
      <alignment horizontal="center" vertical="center" wrapText="1" readingOrder="2"/>
    </xf>
    <xf numFmtId="0" fontId="22" fillId="0" borderId="19" xfId="0" applyFont="1" applyBorder="1" applyAlignment="1">
      <alignment horizontal="center" vertical="center"/>
    </xf>
    <xf numFmtId="0" fontId="23" fillId="0" borderId="19" xfId="0" applyFont="1" applyBorder="1" applyAlignment="1">
      <alignment horizontal="center" vertical="center"/>
    </xf>
    <xf numFmtId="0" fontId="10" fillId="9" borderId="0" xfId="0" applyFont="1" applyFill="1" applyAlignment="1">
      <alignment horizontal="center" vertical="center"/>
    </xf>
    <xf numFmtId="0" fontId="21" fillId="9" borderId="17" xfId="0" applyFont="1" applyFill="1" applyBorder="1" applyAlignment="1">
      <alignment horizontal="center" vertical="center"/>
    </xf>
    <xf numFmtId="0" fontId="22" fillId="9" borderId="17" xfId="0" applyFont="1" applyFill="1" applyBorder="1" applyAlignment="1">
      <alignment horizontal="center" vertical="center"/>
    </xf>
    <xf numFmtId="0" fontId="23" fillId="9" borderId="17" xfId="0" applyFont="1" applyFill="1" applyBorder="1" applyAlignment="1">
      <alignment horizontal="center" vertical="center"/>
    </xf>
    <xf numFmtId="0" fontId="23" fillId="8" borderId="17" xfId="0" applyFont="1" applyFill="1" applyBorder="1" applyAlignment="1">
      <alignment horizontal="center" vertical="center"/>
    </xf>
    <xf numFmtId="0" fontId="33" fillId="9" borderId="17" xfId="0" applyFont="1" applyFill="1" applyBorder="1" applyAlignment="1">
      <alignment horizontal="center" vertical="center"/>
    </xf>
    <xf numFmtId="0" fontId="27" fillId="2" borderId="19" xfId="0" applyFont="1" applyFill="1" applyBorder="1" applyAlignment="1" applyProtection="1">
      <alignment horizontal="center" vertical="center" wrapText="1"/>
      <protection locked="0"/>
    </xf>
    <xf numFmtId="0" fontId="27" fillId="2" borderId="54" xfId="0" applyFont="1" applyFill="1" applyBorder="1" applyAlignment="1" applyProtection="1">
      <alignment horizontal="center" vertical="center" wrapText="1"/>
      <protection locked="0"/>
    </xf>
    <xf numFmtId="0" fontId="27" fillId="2" borderId="18" xfId="0" applyFont="1" applyFill="1" applyBorder="1" applyAlignment="1" applyProtection="1">
      <alignment horizontal="center" vertical="center" wrapText="1"/>
      <protection locked="0"/>
    </xf>
    <xf numFmtId="0" fontId="27" fillId="2" borderId="33" xfId="0" applyFont="1" applyFill="1" applyBorder="1" applyAlignment="1" applyProtection="1">
      <alignment horizontal="center" vertical="center" wrapText="1"/>
      <protection locked="0"/>
    </xf>
    <xf numFmtId="0" fontId="27" fillId="2" borderId="55" xfId="0" applyFont="1" applyFill="1" applyBorder="1" applyAlignment="1" applyProtection="1">
      <alignment horizontal="center" vertical="center" wrapText="1"/>
      <protection locked="0"/>
    </xf>
    <xf numFmtId="0" fontId="27" fillId="2" borderId="12" xfId="0" applyFont="1" applyFill="1" applyBorder="1" applyAlignment="1">
      <alignment horizontal="center" vertical="center" wrapText="1"/>
    </xf>
    <xf numFmtId="0" fontId="27" fillId="2" borderId="12" xfId="0" applyFont="1" applyFill="1" applyBorder="1" applyAlignment="1" applyProtection="1">
      <alignment horizontal="center" vertical="center" wrapText="1"/>
      <protection locked="0"/>
    </xf>
    <xf numFmtId="0" fontId="27" fillId="2" borderId="34" xfId="0" applyFont="1" applyFill="1" applyBorder="1" applyAlignment="1" applyProtection="1">
      <alignment horizontal="center" vertical="center" wrapText="1"/>
      <protection locked="0"/>
    </xf>
    <xf numFmtId="0" fontId="27" fillId="2" borderId="11" xfId="0" applyFont="1" applyFill="1" applyBorder="1" applyAlignment="1" applyProtection="1">
      <alignment horizontal="center" vertical="center" wrapText="1"/>
      <protection locked="0"/>
    </xf>
    <xf numFmtId="0" fontId="0" fillId="9" borderId="0" xfId="0" applyFill="1" applyAlignment="1">
      <alignment horizontal="center" vertical="center"/>
    </xf>
    <xf numFmtId="0" fontId="27" fillId="8" borderId="17" xfId="0" applyFont="1" applyFill="1" applyBorder="1" applyAlignment="1">
      <alignment horizontal="center" vertical="center" wrapText="1" readingOrder="2"/>
    </xf>
    <xf numFmtId="0" fontId="15" fillId="0" borderId="17" xfId="0" applyFont="1" applyBorder="1" applyAlignment="1">
      <alignment horizontal="center" vertical="center"/>
    </xf>
    <xf numFmtId="0" fontId="37" fillId="4" borderId="50" xfId="0" applyFont="1" applyFill="1" applyBorder="1" applyAlignment="1">
      <alignment horizontal="center" vertical="center"/>
    </xf>
    <xf numFmtId="0" fontId="37" fillId="4" borderId="51" xfId="0" applyFont="1" applyFill="1" applyBorder="1" applyAlignment="1">
      <alignment horizontal="center" vertical="center"/>
    </xf>
    <xf numFmtId="0" fontId="37" fillId="4" borderId="52" xfId="0" applyFont="1" applyFill="1" applyBorder="1" applyAlignment="1">
      <alignment horizontal="center" vertical="center"/>
    </xf>
    <xf numFmtId="0" fontId="15" fillId="14" borderId="63" xfId="0" applyFont="1" applyFill="1" applyBorder="1" applyAlignment="1">
      <alignment horizontal="center" vertical="center" wrapText="1" readingOrder="2"/>
    </xf>
    <xf numFmtId="0" fontId="15" fillId="14" borderId="64" xfId="0" applyFont="1" applyFill="1" applyBorder="1" applyAlignment="1">
      <alignment horizontal="center" vertical="center" wrapText="1" readingOrder="2"/>
    </xf>
    <xf numFmtId="0" fontId="15" fillId="14" borderId="65" xfId="0" applyFont="1" applyFill="1" applyBorder="1" applyAlignment="1">
      <alignment horizontal="center" vertical="center" wrapText="1" readingOrder="2"/>
    </xf>
    <xf numFmtId="0" fontId="39" fillId="9" borderId="38" xfId="0" applyFont="1" applyFill="1" applyBorder="1" applyAlignment="1">
      <alignment horizontal="center" vertical="center" wrapText="1" readingOrder="2"/>
    </xf>
    <xf numFmtId="0" fontId="39" fillId="9" borderId="47" xfId="0" applyFont="1" applyFill="1" applyBorder="1" applyAlignment="1">
      <alignment horizontal="center" vertical="center" wrapText="1" readingOrder="2"/>
    </xf>
    <xf numFmtId="0" fontId="39" fillId="9" borderId="39" xfId="0" applyFont="1" applyFill="1" applyBorder="1" applyAlignment="1">
      <alignment horizontal="center" vertical="center" wrapText="1" readingOrder="2"/>
    </xf>
    <xf numFmtId="0" fontId="39" fillId="9" borderId="45" xfId="0" applyFont="1" applyFill="1" applyBorder="1" applyAlignment="1">
      <alignment horizontal="center" vertical="center" wrapText="1" readingOrder="2"/>
    </xf>
    <xf numFmtId="0" fontId="39" fillId="9" borderId="17" xfId="0" applyFont="1" applyFill="1" applyBorder="1" applyAlignment="1">
      <alignment horizontal="center" vertical="center" wrapText="1" readingOrder="2"/>
    </xf>
    <xf numFmtId="0" fontId="39" fillId="9" borderId="46" xfId="0" applyFont="1" applyFill="1" applyBorder="1" applyAlignment="1">
      <alignment horizontal="center" vertical="center" wrapText="1" readingOrder="2"/>
    </xf>
    <xf numFmtId="0" fontId="39" fillId="9" borderId="40" xfId="0" applyFont="1" applyFill="1" applyBorder="1" applyAlignment="1">
      <alignment horizontal="center" vertical="center" wrapText="1" readingOrder="2"/>
    </xf>
    <xf numFmtId="0" fontId="39" fillId="9" borderId="48" xfId="0" applyFont="1" applyFill="1" applyBorder="1" applyAlignment="1">
      <alignment horizontal="center" vertical="center" wrapText="1" readingOrder="2"/>
    </xf>
    <xf numFmtId="0" fontId="39" fillId="9" borderId="41" xfId="0" applyFont="1" applyFill="1" applyBorder="1" applyAlignment="1">
      <alignment horizontal="center" vertical="center" wrapText="1" readingOrder="2"/>
    </xf>
    <xf numFmtId="0" fontId="10" fillId="0" borderId="19" xfId="0" applyFont="1" applyBorder="1" applyAlignment="1" applyProtection="1">
      <alignment horizontal="center" vertical="center"/>
      <protection locked="0"/>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17" fillId="6" borderId="52" xfId="0" applyFont="1" applyFill="1" applyBorder="1" applyAlignment="1">
      <alignment horizontal="center" vertical="center" wrapText="1"/>
    </xf>
    <xf numFmtId="0" fontId="17" fillId="9" borderId="38" xfId="0" applyFont="1" applyFill="1" applyBorder="1" applyAlignment="1">
      <alignment horizontal="center" vertical="center" wrapText="1"/>
    </xf>
    <xf numFmtId="0" fontId="17" fillId="9" borderId="47" xfId="0" applyFont="1" applyFill="1" applyBorder="1" applyAlignment="1">
      <alignment horizontal="center" vertical="center" wrapText="1"/>
    </xf>
    <xf numFmtId="0" fontId="17" fillId="9" borderId="39" xfId="0" applyFont="1" applyFill="1" applyBorder="1" applyAlignment="1">
      <alignment horizontal="center" vertical="center" wrapText="1"/>
    </xf>
    <xf numFmtId="0" fontId="17" fillId="9" borderId="45"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17" fillId="9" borderId="46" xfId="0" applyFont="1" applyFill="1" applyBorder="1" applyAlignment="1">
      <alignment horizontal="center" vertical="center" wrapText="1"/>
    </xf>
    <xf numFmtId="0" fontId="17" fillId="9" borderId="40" xfId="0" applyFont="1" applyFill="1" applyBorder="1" applyAlignment="1">
      <alignment horizontal="center" vertical="center" wrapText="1"/>
    </xf>
    <xf numFmtId="0" fontId="17" fillId="9" borderId="48" xfId="0" applyFont="1" applyFill="1" applyBorder="1" applyAlignment="1">
      <alignment horizontal="center" vertical="center" wrapText="1"/>
    </xf>
    <xf numFmtId="0" fontId="17" fillId="9" borderId="41" xfId="0" applyFont="1" applyFill="1" applyBorder="1" applyAlignment="1">
      <alignment horizontal="center" vertical="center" wrapText="1"/>
    </xf>
    <xf numFmtId="0" fontId="23" fillId="4" borderId="38" xfId="0" applyFont="1" applyFill="1" applyBorder="1" applyAlignment="1">
      <alignment horizontal="center" vertical="center" wrapText="1"/>
    </xf>
    <xf numFmtId="0" fontId="23" fillId="4" borderId="39" xfId="0" applyFont="1" applyFill="1" applyBorder="1" applyAlignment="1">
      <alignment horizontal="center" vertical="center" wrapText="1"/>
    </xf>
    <xf numFmtId="0" fontId="23" fillId="4" borderId="45" xfId="0" applyFont="1" applyFill="1" applyBorder="1" applyAlignment="1">
      <alignment horizontal="center" vertical="center" wrapText="1"/>
    </xf>
    <xf numFmtId="0" fontId="23" fillId="4" borderId="46" xfId="0" applyFont="1" applyFill="1" applyBorder="1" applyAlignment="1">
      <alignment horizontal="center" vertical="center" wrapText="1"/>
    </xf>
    <xf numFmtId="0" fontId="23" fillId="4" borderId="40" xfId="0" applyFont="1" applyFill="1" applyBorder="1" applyAlignment="1">
      <alignment horizontal="center" vertical="center" wrapText="1"/>
    </xf>
    <xf numFmtId="0" fontId="23" fillId="4" borderId="41" xfId="0" applyFont="1" applyFill="1" applyBorder="1" applyAlignment="1">
      <alignment horizontal="center" vertical="center" wrapText="1"/>
    </xf>
    <xf numFmtId="0" fontId="15" fillId="18" borderId="38" xfId="0" applyFont="1" applyFill="1" applyBorder="1" applyAlignment="1">
      <alignment horizontal="center" vertical="center" wrapText="1" readingOrder="2"/>
    </xf>
    <xf numFmtId="0" fontId="15" fillId="18" borderId="47" xfId="0" applyFont="1" applyFill="1" applyBorder="1" applyAlignment="1">
      <alignment horizontal="center" vertical="center" wrapText="1" readingOrder="2"/>
    </xf>
    <xf numFmtId="0" fontId="15" fillId="18" borderId="39" xfId="0" applyFont="1" applyFill="1" applyBorder="1" applyAlignment="1">
      <alignment horizontal="center" vertical="center" wrapText="1" readingOrder="2"/>
    </xf>
    <xf numFmtId="0" fontId="15" fillId="18" borderId="45" xfId="0" applyFont="1" applyFill="1" applyBorder="1" applyAlignment="1">
      <alignment horizontal="center" vertical="center" wrapText="1" readingOrder="2"/>
    </xf>
    <xf numFmtId="0" fontId="15" fillId="18" borderId="17" xfId="0" applyFont="1" applyFill="1" applyBorder="1" applyAlignment="1">
      <alignment horizontal="center" vertical="center" wrapText="1" readingOrder="2"/>
    </xf>
    <xf numFmtId="0" fontId="15" fillId="18" borderId="46" xfId="0" applyFont="1" applyFill="1" applyBorder="1" applyAlignment="1">
      <alignment horizontal="center" vertical="center" wrapText="1" readingOrder="2"/>
    </xf>
    <xf numFmtId="0" fontId="15" fillId="18" borderId="40" xfId="0" applyFont="1" applyFill="1" applyBorder="1" applyAlignment="1">
      <alignment horizontal="center" vertical="center" wrapText="1" readingOrder="2"/>
    </xf>
    <xf numFmtId="0" fontId="15" fillId="18" borderId="48" xfId="0" applyFont="1" applyFill="1" applyBorder="1" applyAlignment="1">
      <alignment horizontal="center" vertical="center" wrapText="1" readingOrder="2"/>
    </xf>
    <xf numFmtId="0" fontId="15" fillId="18" borderId="41" xfId="0" applyFont="1" applyFill="1" applyBorder="1" applyAlignment="1">
      <alignment horizontal="center" vertical="center" wrapText="1" readingOrder="2"/>
    </xf>
    <xf numFmtId="0" fontId="15" fillId="20" borderId="42" xfId="0" applyFont="1" applyFill="1" applyBorder="1" applyAlignment="1">
      <alignment horizontal="center" vertical="center" wrapText="1" readingOrder="2"/>
    </xf>
    <xf numFmtId="0" fontId="15" fillId="20" borderId="43" xfId="0" applyFont="1" applyFill="1" applyBorder="1" applyAlignment="1">
      <alignment horizontal="center" vertical="center" wrapText="1" readingOrder="2"/>
    </xf>
    <xf numFmtId="0" fontId="15" fillId="20" borderId="44" xfId="0" applyFont="1" applyFill="1" applyBorder="1" applyAlignment="1">
      <alignment horizontal="center" vertical="center" wrapText="1" readingOrder="2"/>
    </xf>
    <xf numFmtId="0" fontId="21" fillId="0" borderId="38" xfId="0" applyFont="1" applyBorder="1" applyAlignment="1">
      <alignment horizontal="center" vertical="center" wrapText="1"/>
    </xf>
    <xf numFmtId="0" fontId="21" fillId="0" borderId="39" xfId="0" applyFont="1" applyBorder="1" applyAlignment="1">
      <alignment horizontal="center" vertical="center" wrapText="1"/>
    </xf>
    <xf numFmtId="0" fontId="21" fillId="0" borderId="40" xfId="0" applyFont="1" applyBorder="1" applyAlignment="1">
      <alignment horizontal="center" vertical="center" wrapText="1"/>
    </xf>
    <xf numFmtId="0" fontId="21" fillId="0" borderId="41" xfId="0" applyFont="1" applyBorder="1" applyAlignment="1">
      <alignment horizontal="center" vertical="center" wrapText="1"/>
    </xf>
    <xf numFmtId="0" fontId="12" fillId="0" borderId="43" xfId="0" applyFont="1" applyBorder="1" applyAlignment="1">
      <alignment horizontal="center" vertical="center" wrapText="1"/>
    </xf>
    <xf numFmtId="0" fontId="38" fillId="15" borderId="42" xfId="0" applyFont="1" applyFill="1" applyBorder="1" applyAlignment="1">
      <alignment horizontal="center" vertical="center" wrapText="1" readingOrder="2"/>
    </xf>
    <xf numFmtId="0" fontId="38" fillId="15" borderId="43" xfId="0" applyFont="1" applyFill="1" applyBorder="1" applyAlignment="1">
      <alignment horizontal="center" vertical="center" wrapText="1" readingOrder="2"/>
    </xf>
    <xf numFmtId="0" fontId="38" fillId="15" borderId="44" xfId="0" applyFont="1" applyFill="1" applyBorder="1" applyAlignment="1">
      <alignment horizontal="center" vertical="center" wrapText="1" readingOrder="2"/>
    </xf>
    <xf numFmtId="0" fontId="23" fillId="8" borderId="2" xfId="0" applyFont="1" applyFill="1" applyBorder="1" applyAlignment="1">
      <alignment horizontal="center" vertical="center"/>
    </xf>
    <xf numFmtId="0" fontId="24" fillId="9" borderId="3" xfId="0" applyFont="1" applyFill="1" applyBorder="1" applyAlignment="1">
      <alignment horizontal="center" vertical="center"/>
    </xf>
    <xf numFmtId="0" fontId="24" fillId="9" borderId="6" xfId="0" applyFont="1" applyFill="1" applyBorder="1" applyAlignment="1">
      <alignment horizontal="center" vertical="center"/>
    </xf>
    <xf numFmtId="0" fontId="23" fillId="25" borderId="19" xfId="0" applyFont="1" applyFill="1" applyBorder="1" applyAlignment="1">
      <alignment horizontal="center" vertical="center"/>
    </xf>
    <xf numFmtId="0" fontId="21" fillId="17" borderId="39" xfId="0" applyFont="1" applyFill="1" applyBorder="1" applyAlignment="1">
      <alignment horizontal="center" vertical="center" wrapText="1" readingOrder="2"/>
    </xf>
    <xf numFmtId="0" fontId="21" fillId="17" borderId="46" xfId="0" applyFont="1" applyFill="1" applyBorder="1" applyAlignment="1">
      <alignment horizontal="center" vertical="center" wrapText="1" readingOrder="2"/>
    </xf>
    <xf numFmtId="0" fontId="21" fillId="17" borderId="41" xfId="0" applyFont="1" applyFill="1" applyBorder="1" applyAlignment="1">
      <alignment horizontal="center" vertical="center" wrapText="1" readingOrder="2"/>
    </xf>
    <xf numFmtId="0" fontId="9" fillId="21" borderId="42" xfId="0" applyFont="1" applyFill="1" applyBorder="1" applyAlignment="1">
      <alignment horizontal="center" vertical="center" wrapText="1" readingOrder="2"/>
    </xf>
    <xf numFmtId="0" fontId="9" fillId="21" borderId="43" xfId="0" applyFont="1" applyFill="1" applyBorder="1" applyAlignment="1">
      <alignment horizontal="center" vertical="center" wrapText="1" readingOrder="2"/>
    </xf>
    <xf numFmtId="0" fontId="9" fillId="21" borderId="44" xfId="0" applyFont="1" applyFill="1" applyBorder="1" applyAlignment="1">
      <alignment horizontal="center" vertical="center" wrapText="1" readingOrder="2"/>
    </xf>
    <xf numFmtId="0" fontId="23" fillId="20" borderId="19" xfId="0" applyFont="1" applyFill="1" applyBorder="1" applyAlignment="1">
      <alignment horizontal="center" vertical="center"/>
    </xf>
    <xf numFmtId="0" fontId="21" fillId="16" borderId="38" xfId="0" applyFont="1" applyFill="1" applyBorder="1" applyAlignment="1">
      <alignment horizontal="center" vertical="center" wrapText="1" readingOrder="2"/>
    </xf>
    <xf numFmtId="0" fontId="21" fillId="16" borderId="39" xfId="0" applyFont="1" applyFill="1" applyBorder="1" applyAlignment="1">
      <alignment horizontal="center" vertical="center" wrapText="1" readingOrder="2"/>
    </xf>
    <xf numFmtId="0" fontId="21" fillId="16" borderId="45" xfId="0" applyFont="1" applyFill="1" applyBorder="1" applyAlignment="1">
      <alignment horizontal="center" vertical="center" wrapText="1" readingOrder="2"/>
    </xf>
    <xf numFmtId="0" fontId="21" fillId="16" borderId="46" xfId="0" applyFont="1" applyFill="1" applyBorder="1" applyAlignment="1">
      <alignment horizontal="center" vertical="center" wrapText="1" readingOrder="2"/>
    </xf>
    <xf numFmtId="0" fontId="21" fillId="16" borderId="40" xfId="0" applyFont="1" applyFill="1" applyBorder="1" applyAlignment="1">
      <alignment horizontal="center" vertical="center" wrapText="1" readingOrder="2"/>
    </xf>
    <xf numFmtId="0" fontId="21" fillId="16" borderId="41" xfId="0" applyFont="1" applyFill="1" applyBorder="1" applyAlignment="1">
      <alignment horizontal="center" vertical="center" wrapText="1" readingOrder="2"/>
    </xf>
    <xf numFmtId="0" fontId="10" fillId="0" borderId="23" xfId="0" applyFont="1" applyBorder="1" applyAlignment="1" applyProtection="1">
      <alignment horizontal="center" vertical="center"/>
      <protection locked="0"/>
    </xf>
    <xf numFmtId="0" fontId="10" fillId="0" borderId="22" xfId="0" applyFont="1" applyBorder="1" applyAlignment="1" applyProtection="1">
      <alignment horizontal="center" vertical="center"/>
      <protection locked="0"/>
    </xf>
    <xf numFmtId="0" fontId="23" fillId="23" borderId="23" xfId="0" applyFont="1" applyFill="1" applyBorder="1" applyAlignment="1">
      <alignment horizontal="center" vertical="center"/>
    </xf>
    <xf numFmtId="0" fontId="23" fillId="23" borderId="62" xfId="0" applyFont="1" applyFill="1" applyBorder="1" applyAlignment="1">
      <alignment horizontal="center" vertical="center"/>
    </xf>
    <xf numFmtId="0" fontId="23" fillId="23" borderId="22" xfId="0" applyFont="1" applyFill="1" applyBorder="1" applyAlignment="1">
      <alignment horizontal="center" vertical="center"/>
    </xf>
    <xf numFmtId="0" fontId="27" fillId="2" borderId="56" xfId="0" applyFont="1" applyFill="1" applyBorder="1" applyAlignment="1">
      <alignment horizontal="center" vertical="center" wrapText="1" readingOrder="2"/>
    </xf>
    <xf numFmtId="0" fontId="27" fillId="2" borderId="57" xfId="0" applyFont="1" applyFill="1" applyBorder="1" applyAlignment="1">
      <alignment horizontal="center" vertical="center" wrapText="1" readingOrder="2"/>
    </xf>
    <xf numFmtId="0" fontId="27" fillId="2" borderId="21" xfId="0" applyFont="1" applyFill="1" applyBorder="1" applyAlignment="1">
      <alignment horizontal="center" vertical="center" wrapText="1" readingOrder="2"/>
    </xf>
    <xf numFmtId="0" fontId="23" fillId="23" borderId="19" xfId="0" applyFont="1" applyFill="1" applyBorder="1" applyAlignment="1">
      <alignment horizontal="center" vertical="center"/>
    </xf>
    <xf numFmtId="0" fontId="23" fillId="4" borderId="19" xfId="0" applyFont="1" applyFill="1" applyBorder="1" applyAlignment="1">
      <alignment horizontal="center" vertical="center"/>
    </xf>
    <xf numFmtId="0" fontId="27" fillId="2" borderId="19" xfId="0" applyFont="1" applyFill="1" applyBorder="1" applyAlignment="1">
      <alignment horizontal="center" vertical="center" wrapText="1" readingOrder="2"/>
    </xf>
    <xf numFmtId="0" fontId="40" fillId="22" borderId="38" xfId="0" applyFont="1" applyFill="1" applyBorder="1" applyAlignment="1">
      <alignment horizontal="center" vertical="center" wrapText="1"/>
    </xf>
    <xf numFmtId="0" fontId="40" fillId="22" borderId="47" xfId="0" applyFont="1" applyFill="1" applyBorder="1" applyAlignment="1">
      <alignment horizontal="center" vertical="center" wrapText="1"/>
    </xf>
    <xf numFmtId="0" fontId="40" fillId="22" borderId="39" xfId="0" applyFont="1" applyFill="1" applyBorder="1" applyAlignment="1">
      <alignment horizontal="center" vertical="center" wrapText="1"/>
    </xf>
    <xf numFmtId="0" fontId="40" fillId="22" borderId="45" xfId="0" applyFont="1" applyFill="1" applyBorder="1" applyAlignment="1">
      <alignment horizontal="center" vertical="center" wrapText="1"/>
    </xf>
    <xf numFmtId="0" fontId="40" fillId="22" borderId="17" xfId="0" applyFont="1" applyFill="1" applyBorder="1" applyAlignment="1">
      <alignment horizontal="center" vertical="center" wrapText="1"/>
    </xf>
    <xf numFmtId="0" fontId="40" fillId="22" borderId="46" xfId="0" applyFont="1" applyFill="1" applyBorder="1" applyAlignment="1">
      <alignment horizontal="center" vertical="center" wrapText="1"/>
    </xf>
    <xf numFmtId="0" fontId="40" fillId="22" borderId="40" xfId="0" applyFont="1" applyFill="1" applyBorder="1" applyAlignment="1">
      <alignment horizontal="center" vertical="center" wrapText="1"/>
    </xf>
    <xf numFmtId="0" fontId="40" fillId="22" borderId="48" xfId="0" applyFont="1" applyFill="1" applyBorder="1" applyAlignment="1">
      <alignment horizontal="center" vertical="center" wrapText="1"/>
    </xf>
    <xf numFmtId="0" fontId="40" fillId="22" borderId="41" xfId="0" applyFont="1" applyFill="1" applyBorder="1" applyAlignment="1">
      <alignment horizontal="center" vertical="center" wrapText="1"/>
    </xf>
    <xf numFmtId="0" fontId="23" fillId="24" borderId="19" xfId="0" applyFont="1" applyFill="1" applyBorder="1" applyAlignment="1">
      <alignment horizontal="center" vertical="center"/>
    </xf>
    <xf numFmtId="0" fontId="23" fillId="14" borderId="19" xfId="0" applyFont="1" applyFill="1" applyBorder="1" applyAlignment="1">
      <alignment horizontal="center" vertical="center"/>
    </xf>
    <xf numFmtId="0" fontId="9" fillId="4" borderId="19" xfId="0" applyFont="1" applyFill="1" applyBorder="1" applyAlignment="1">
      <alignment horizontal="center" vertical="center"/>
    </xf>
    <xf numFmtId="0" fontId="31" fillId="4" borderId="19" xfId="0" applyFont="1" applyFill="1" applyBorder="1" applyAlignment="1">
      <alignment horizontal="center" vertical="center"/>
    </xf>
    <xf numFmtId="0" fontId="19" fillId="6" borderId="38" xfId="0" applyFont="1" applyFill="1" applyBorder="1" applyAlignment="1">
      <alignment horizontal="center" vertical="center" wrapText="1"/>
    </xf>
    <xf numFmtId="0" fontId="19" fillId="6" borderId="47" xfId="0" applyFont="1" applyFill="1" applyBorder="1" applyAlignment="1">
      <alignment horizontal="center" vertical="center" wrapText="1"/>
    </xf>
    <xf numFmtId="0" fontId="19" fillId="6" borderId="39" xfId="0" applyFont="1" applyFill="1" applyBorder="1" applyAlignment="1">
      <alignment horizontal="center" vertical="center" wrapText="1"/>
    </xf>
    <xf numFmtId="0" fontId="19" fillId="6" borderId="45" xfId="0" applyFont="1" applyFill="1" applyBorder="1" applyAlignment="1">
      <alignment horizontal="center" vertical="center" wrapText="1"/>
    </xf>
    <xf numFmtId="0" fontId="19" fillId="6" borderId="17" xfId="0" applyFont="1" applyFill="1" applyBorder="1" applyAlignment="1">
      <alignment horizontal="center" vertical="center" wrapText="1"/>
    </xf>
    <xf numFmtId="0" fontId="19" fillId="6" borderId="46" xfId="0" applyFont="1" applyFill="1" applyBorder="1" applyAlignment="1">
      <alignment horizontal="center" vertical="center" wrapText="1"/>
    </xf>
    <xf numFmtId="0" fontId="19" fillId="6" borderId="40" xfId="0" applyFont="1" applyFill="1" applyBorder="1" applyAlignment="1">
      <alignment horizontal="center" vertical="center" wrapText="1"/>
    </xf>
    <xf numFmtId="0" fontId="19" fillId="6" borderId="48" xfId="0" applyFont="1" applyFill="1" applyBorder="1" applyAlignment="1">
      <alignment horizontal="center" vertical="center" wrapText="1"/>
    </xf>
    <xf numFmtId="0" fontId="19" fillId="6" borderId="41" xfId="0" applyFont="1" applyFill="1" applyBorder="1" applyAlignment="1">
      <alignment horizontal="center" vertical="center" wrapText="1"/>
    </xf>
    <xf numFmtId="0" fontId="23" fillId="2" borderId="14" xfId="0" applyFont="1" applyFill="1" applyBorder="1" applyAlignment="1">
      <alignment horizontal="center" vertical="center"/>
    </xf>
    <xf numFmtId="0" fontId="24" fillId="0" borderId="15" xfId="0" applyFont="1" applyBorder="1" applyAlignment="1">
      <alignment horizontal="center" vertical="center"/>
    </xf>
    <xf numFmtId="0" fontId="24" fillId="0" borderId="16" xfId="0" applyFont="1" applyBorder="1" applyAlignment="1">
      <alignment horizontal="center" vertical="center"/>
    </xf>
    <xf numFmtId="0" fontId="23" fillId="2" borderId="2" xfId="0" applyFont="1" applyFill="1" applyBorder="1" applyAlignment="1">
      <alignment horizontal="center" vertical="center"/>
    </xf>
    <xf numFmtId="0" fontId="24" fillId="0" borderId="3" xfId="0" applyFont="1" applyBorder="1" applyAlignment="1">
      <alignment horizontal="center" vertical="center"/>
    </xf>
    <xf numFmtId="0" fontId="24" fillId="0" borderId="6" xfId="0" applyFont="1" applyBorder="1" applyAlignment="1">
      <alignment horizontal="center" vertical="center"/>
    </xf>
    <xf numFmtId="0" fontId="10" fillId="0" borderId="21" xfId="0" applyFont="1" applyBorder="1" applyAlignment="1" applyProtection="1">
      <alignment horizontal="center" vertical="center"/>
      <protection locked="0"/>
    </xf>
    <xf numFmtId="0" fontId="23" fillId="0" borderId="19" xfId="0" applyFont="1" applyBorder="1" applyAlignment="1">
      <alignment horizontal="center" vertical="center"/>
    </xf>
    <xf numFmtId="0" fontId="21" fillId="0" borderId="19" xfId="0" applyFont="1" applyBorder="1" applyAlignment="1">
      <alignment horizontal="center" vertical="center"/>
    </xf>
    <xf numFmtId="0" fontId="22" fillId="0" borderId="59" xfId="0" applyFont="1" applyBorder="1" applyAlignment="1">
      <alignment horizontal="center" vertical="center"/>
    </xf>
    <xf numFmtId="0" fontId="22" fillId="0" borderId="60" xfId="0" applyFont="1" applyBorder="1" applyAlignment="1">
      <alignment horizontal="center" vertical="center"/>
    </xf>
    <xf numFmtId="0" fontId="22" fillId="0" borderId="61" xfId="0" applyFont="1" applyBorder="1" applyAlignment="1">
      <alignment horizontal="center" vertical="center"/>
    </xf>
    <xf numFmtId="0" fontId="22" fillId="0" borderId="19" xfId="0" applyFont="1" applyBorder="1" applyAlignment="1">
      <alignment horizontal="center" vertical="center"/>
    </xf>
    <xf numFmtId="0" fontId="22" fillId="0" borderId="23" xfId="0" applyFont="1" applyBorder="1" applyAlignment="1">
      <alignment horizontal="center" vertical="center"/>
    </xf>
    <xf numFmtId="0" fontId="22" fillId="0" borderId="62" xfId="0" applyFont="1" applyBorder="1" applyAlignment="1">
      <alignment horizontal="center" vertical="center"/>
    </xf>
    <xf numFmtId="0" fontId="22" fillId="0" borderId="22" xfId="0" applyFont="1" applyBorder="1" applyAlignment="1">
      <alignment horizontal="center" vertical="center"/>
    </xf>
  </cellXfs>
  <cellStyles count="4">
    <cellStyle name="Hyperlink" xfId="1" builtinId="8"/>
    <cellStyle name="Hyperlink 2" xfId="3" xr:uid="{9C1005CE-6DD3-44EF-A7C1-00547277C25F}"/>
    <cellStyle name="Normal" xfId="0" builtinId="0"/>
    <cellStyle name="Normal 2" xfId="2" xr:uid="{1B1AF152-8B12-4ED7-BEE2-8FCA03334927}"/>
  </cellStyles>
  <dxfs count="253">
    <dxf>
      <font>
        <color rgb="FF000000"/>
      </font>
      <fill>
        <patternFill patternType="solid">
          <fgColor rgb="FFFF0000"/>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ont>
        <color rgb="FF000000"/>
      </font>
      <fill>
        <patternFill patternType="solid">
          <fgColor rgb="FFFF0000"/>
          <bgColor rgb="FFFF0000"/>
        </patternFill>
      </fill>
    </dxf>
    <dxf>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rgb="FF222222"/>
        <name val="Arial"/>
        <family val="2"/>
        <scheme val="none"/>
      </font>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3"/>
        <color rgb="FF222222"/>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3"/>
        <color rgb="FF222222"/>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ont>
        <b val="0"/>
        <i val="0"/>
        <strike val="0"/>
        <condense val="0"/>
        <extend val="0"/>
        <outline val="0"/>
        <shadow val="0"/>
        <u val="none"/>
        <vertAlign val="baseline"/>
        <sz val="13"/>
        <color rgb="FF222222"/>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3"/>
        <color rgb="FF222222"/>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3"/>
        <color rgb="FF222222"/>
        <name val="Arial"/>
        <family val="2"/>
        <scheme val="none"/>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3"/>
        <color rgb="FF222222"/>
        <name val="Arial"/>
        <family val="2"/>
        <scheme val="none"/>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righ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3"/>
        <color rgb="FF222222"/>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3"/>
        <color rgb="FF222222"/>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0"/>
        <color theme="0"/>
        <name val="Arial"/>
        <family val="2"/>
        <scheme val="none"/>
      </font>
      <fill>
        <patternFill patternType="solid">
          <fgColor theme="4"/>
          <bgColor theme="4"/>
        </patternFill>
      </fill>
    </dxf>
    <dxf>
      <alignment horizontal="right"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border diagonalUp="0" diagonalDown="0">
        <left/>
        <right/>
        <top style="thin">
          <color theme="4" tint="0.39997558519241921"/>
        </top>
        <bottom style="thin">
          <color theme="4" tint="0.39997558519241921"/>
        </bottom>
        <vertical/>
        <horizontal/>
      </border>
    </dxf>
    <dxf>
      <border outline="0">
        <top style="thin">
          <color rgb="FF9BC2E6"/>
        </top>
      </border>
    </dxf>
    <dxf>
      <border outline="0">
        <left style="thin">
          <color rgb="FF9BC2E6"/>
        </left>
        <right style="thin">
          <color rgb="FF9BC2E6"/>
        </right>
        <top style="thin">
          <color rgb="FF9BC2E6"/>
        </top>
        <bottom style="thin">
          <color rgb="FF9BC2E6"/>
        </bottom>
      </border>
    </dxf>
    <dxf>
      <border outline="0">
        <bottom style="thin">
          <color rgb="FF9BC2E6"/>
        </bottom>
      </border>
    </dxf>
    <dxf>
      <font>
        <b/>
        <i val="0"/>
        <strike val="0"/>
        <condense val="0"/>
        <extend val="0"/>
        <outline val="0"/>
        <shadow val="0"/>
        <u val="none"/>
        <vertAlign val="baseline"/>
        <sz val="10"/>
        <color theme="0"/>
        <name val="Arial"/>
        <scheme val="none"/>
      </font>
      <fill>
        <patternFill patternType="solid">
          <fgColor theme="4"/>
          <bgColor theme="4"/>
        </patternFill>
      </fill>
    </dxf>
    <dxf>
      <font>
        <b val="0"/>
        <i val="0"/>
        <strike val="0"/>
        <condense val="0"/>
        <extend val="0"/>
        <outline val="0"/>
        <shadow val="0"/>
        <u val="none"/>
        <vertAlign val="baseline"/>
        <sz val="9"/>
        <color rgb="FF000000"/>
        <name val="Consolas"/>
        <family val="3"/>
        <scheme val="none"/>
      </font>
      <alignment horizontal="right" vertical="center" textRotation="0" wrapText="0" indent="1"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alignment horizontal="right"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alignment horizontal="general"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alignment horizontal="general"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alignment horizontal="general"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alignment horizontal="left" vertical="center" textRotation="0" wrapText="0" indent="10" justifyLastLine="0" shrinkToFit="0" readingOrder="0"/>
    </dxf>
    <dxf>
      <font>
        <b val="0"/>
        <i val="0"/>
        <strike val="0"/>
        <condense val="0"/>
        <extend val="0"/>
        <outline val="0"/>
        <shadow val="0"/>
        <u val="none"/>
        <vertAlign val="baseline"/>
        <sz val="13"/>
        <color rgb="FF222222"/>
        <name val="Arial"/>
        <family val="2"/>
        <scheme val="none"/>
      </font>
    </dxf>
    <dxf>
      <alignment horizontal="general"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font>
        <b val="0"/>
        <i val="0"/>
        <strike val="0"/>
        <condense val="0"/>
        <extend val="0"/>
        <outline val="0"/>
        <shadow val="0"/>
        <u val="none"/>
        <vertAlign val="baseline"/>
        <sz val="13"/>
        <color rgb="FF222222"/>
        <name val="Arial"/>
        <family val="2"/>
        <scheme val="none"/>
      </font>
    </dxf>
    <dxf>
      <alignment horizontal="right"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alignment horizontal="general"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
      <alignment horizontal="general" vertical="center" textRotation="0" wrapText="0" indent="0" justifyLastLine="0" shrinkToFit="0" readingOrder="0"/>
    </dxf>
    <dxf>
      <font>
        <b val="0"/>
        <i val="0"/>
        <strike val="0"/>
        <condense val="0"/>
        <extend val="0"/>
        <outline val="0"/>
        <shadow val="0"/>
        <u val="none"/>
        <vertAlign val="baseline"/>
        <sz val="13"/>
        <color rgb="FF222222"/>
        <name val="Arial"/>
        <family val="2"/>
        <scheme val="none"/>
      </font>
    </dxf>
  </dxfs>
  <tableStyles count="0" defaultTableStyle="TableStyleMedium2" defaultPivotStyle="PivotStyleLight16"/>
  <colors>
    <mruColors>
      <color rgb="FFFF4B4B"/>
      <color rgb="FFFF7D7D"/>
      <color rgb="FFFD9B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6</xdr:col>
      <xdr:colOff>919784</xdr:colOff>
      <xdr:row>8</xdr:row>
      <xdr:rowOff>108858</xdr:rowOff>
    </xdr:from>
    <xdr:to>
      <xdr:col>6</xdr:col>
      <xdr:colOff>2095500</xdr:colOff>
      <xdr:row>10</xdr:row>
      <xdr:rowOff>122737</xdr:rowOff>
    </xdr:to>
    <xdr:sp macro="" textlink="">
      <xdr:nvSpPr>
        <xdr:cNvPr id="3" name="Down Arrow 2">
          <a:extLst>
            <a:ext uri="{FF2B5EF4-FFF2-40B4-BE49-F238E27FC236}">
              <a16:creationId xmlns:a16="http://schemas.microsoft.com/office/drawing/2014/main" id="{E735E7B6-E654-440B-8817-39A93F5A4061}"/>
            </a:ext>
          </a:extLst>
        </xdr:cNvPr>
        <xdr:cNvSpPr/>
      </xdr:nvSpPr>
      <xdr:spPr>
        <a:xfrm>
          <a:off x="6920534" y="7007679"/>
          <a:ext cx="1175716" cy="707844"/>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13</xdr:col>
      <xdr:colOff>190500</xdr:colOff>
      <xdr:row>8</xdr:row>
      <xdr:rowOff>81643</xdr:rowOff>
    </xdr:from>
    <xdr:to>
      <xdr:col>13</xdr:col>
      <xdr:colOff>946737</xdr:colOff>
      <xdr:row>10</xdr:row>
      <xdr:rowOff>153122</xdr:rowOff>
    </xdr:to>
    <xdr:sp macro="" textlink="">
      <xdr:nvSpPr>
        <xdr:cNvPr id="11" name="Arrow: Down 10">
          <a:extLst>
            <a:ext uri="{FF2B5EF4-FFF2-40B4-BE49-F238E27FC236}">
              <a16:creationId xmlns:a16="http://schemas.microsoft.com/office/drawing/2014/main" id="{28E158C2-F609-4AC0-93DE-266F2526E8F1}"/>
            </a:ext>
          </a:extLst>
        </xdr:cNvPr>
        <xdr:cNvSpPr/>
      </xdr:nvSpPr>
      <xdr:spPr>
        <a:xfrm>
          <a:off x="14192250" y="3333750"/>
          <a:ext cx="756237" cy="765443"/>
        </a:xfrm>
        <a:prstGeom prst="downArrow">
          <a:avLst/>
        </a:prstGeom>
        <a:solidFill>
          <a:schemeClr val="accent4">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83002</xdr:colOff>
      <xdr:row>7</xdr:row>
      <xdr:rowOff>122464</xdr:rowOff>
    </xdr:from>
    <xdr:to>
      <xdr:col>14</xdr:col>
      <xdr:colOff>1025978</xdr:colOff>
      <xdr:row>10</xdr:row>
      <xdr:rowOff>53068</xdr:rowOff>
    </xdr:to>
    <xdr:sp macro="" textlink="">
      <xdr:nvSpPr>
        <xdr:cNvPr id="12" name="Down Arrow 2">
          <a:extLst>
            <a:ext uri="{FF2B5EF4-FFF2-40B4-BE49-F238E27FC236}">
              <a16:creationId xmlns:a16="http://schemas.microsoft.com/office/drawing/2014/main" id="{E449A09D-94F0-420F-8A9F-6CB8BE037420}"/>
            </a:ext>
          </a:extLst>
        </xdr:cNvPr>
        <xdr:cNvSpPr/>
      </xdr:nvSpPr>
      <xdr:spPr>
        <a:xfrm>
          <a:off x="15472681" y="2694214"/>
          <a:ext cx="942976" cy="1304925"/>
        </a:xfrm>
        <a:prstGeom prst="downArrow">
          <a:avLst/>
        </a:prstGeom>
        <a:solidFill>
          <a:srgbClr val="FD9BF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15</xdr:col>
      <xdr:colOff>194583</xdr:colOff>
      <xdr:row>7</xdr:row>
      <xdr:rowOff>87086</xdr:rowOff>
    </xdr:from>
    <xdr:to>
      <xdr:col>15</xdr:col>
      <xdr:colOff>947057</xdr:colOff>
      <xdr:row>10</xdr:row>
      <xdr:rowOff>125186</xdr:rowOff>
    </xdr:to>
    <xdr:sp macro="" textlink="">
      <xdr:nvSpPr>
        <xdr:cNvPr id="13" name="Arrow: Down 12">
          <a:extLst>
            <a:ext uri="{FF2B5EF4-FFF2-40B4-BE49-F238E27FC236}">
              <a16:creationId xmlns:a16="http://schemas.microsoft.com/office/drawing/2014/main" id="{B2538701-0B60-4244-B24C-881C6FC61C22}"/>
            </a:ext>
          </a:extLst>
        </xdr:cNvPr>
        <xdr:cNvSpPr/>
      </xdr:nvSpPr>
      <xdr:spPr>
        <a:xfrm>
          <a:off x="16632012" y="2658836"/>
          <a:ext cx="752474" cy="1412421"/>
        </a:xfrm>
        <a:prstGeom prst="downArrow">
          <a:avLst/>
        </a:prstGeom>
        <a:solidFill>
          <a:srgbClr val="FF7D7D"/>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204108</xdr:colOff>
      <xdr:row>7</xdr:row>
      <xdr:rowOff>108857</xdr:rowOff>
    </xdr:from>
    <xdr:to>
      <xdr:col>20</xdr:col>
      <xdr:colOff>1183822</xdr:colOff>
      <xdr:row>10</xdr:row>
      <xdr:rowOff>153122</xdr:rowOff>
    </xdr:to>
    <xdr:sp macro="" textlink="">
      <xdr:nvSpPr>
        <xdr:cNvPr id="14" name="Arrow: Down 13">
          <a:extLst>
            <a:ext uri="{FF2B5EF4-FFF2-40B4-BE49-F238E27FC236}">
              <a16:creationId xmlns:a16="http://schemas.microsoft.com/office/drawing/2014/main" id="{502888FD-380F-4B51-8A3A-6DF02E2DBCEE}"/>
            </a:ext>
          </a:extLst>
        </xdr:cNvPr>
        <xdr:cNvSpPr/>
      </xdr:nvSpPr>
      <xdr:spPr>
        <a:xfrm>
          <a:off x="14954251" y="2735036"/>
          <a:ext cx="979714" cy="1200872"/>
        </a:xfrm>
        <a:prstGeom prst="downArrow">
          <a:avLst/>
        </a:prstGeom>
        <a:solidFill>
          <a:schemeClr val="accent4">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27215</xdr:colOff>
      <xdr:row>6</xdr:row>
      <xdr:rowOff>81642</xdr:rowOff>
    </xdr:from>
    <xdr:to>
      <xdr:col>24</xdr:col>
      <xdr:colOff>81645</xdr:colOff>
      <xdr:row>10</xdr:row>
      <xdr:rowOff>30656</xdr:rowOff>
    </xdr:to>
    <xdr:sp macro="" textlink="">
      <xdr:nvSpPr>
        <xdr:cNvPr id="16" name="Arrow: Down 15">
          <a:extLst>
            <a:ext uri="{FF2B5EF4-FFF2-40B4-BE49-F238E27FC236}">
              <a16:creationId xmlns:a16="http://schemas.microsoft.com/office/drawing/2014/main" id="{F2C2C927-E876-4063-AF7D-4CB727DFE7D5}"/>
            </a:ext>
          </a:extLst>
        </xdr:cNvPr>
        <xdr:cNvSpPr/>
      </xdr:nvSpPr>
      <xdr:spPr>
        <a:xfrm>
          <a:off x="24642536" y="2190749"/>
          <a:ext cx="911680" cy="1785978"/>
        </a:xfrm>
        <a:prstGeom prst="downArrow">
          <a:avLst/>
        </a:prstGeom>
        <a:solidFill>
          <a:schemeClr val="accent2">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99</xdr:col>
      <xdr:colOff>364673</xdr:colOff>
      <xdr:row>8</xdr:row>
      <xdr:rowOff>141513</xdr:rowOff>
    </xdr:from>
    <xdr:to>
      <xdr:col>100</xdr:col>
      <xdr:colOff>66676</xdr:colOff>
      <xdr:row>10</xdr:row>
      <xdr:rowOff>112149</xdr:rowOff>
    </xdr:to>
    <xdr:sp macro="" textlink="">
      <xdr:nvSpPr>
        <xdr:cNvPr id="17" name="Down Arrow 2">
          <a:extLst>
            <a:ext uri="{FF2B5EF4-FFF2-40B4-BE49-F238E27FC236}">
              <a16:creationId xmlns:a16="http://schemas.microsoft.com/office/drawing/2014/main" id="{2660305B-252C-412E-8DE4-B93CDF9D00D1}"/>
            </a:ext>
          </a:extLst>
        </xdr:cNvPr>
        <xdr:cNvSpPr/>
      </xdr:nvSpPr>
      <xdr:spPr>
        <a:xfrm>
          <a:off x="137277023" y="3922938"/>
          <a:ext cx="1673678" cy="665961"/>
        </a:xfrm>
        <a:prstGeom prst="down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90</xdr:col>
      <xdr:colOff>258535</xdr:colOff>
      <xdr:row>8</xdr:row>
      <xdr:rowOff>95250</xdr:rowOff>
    </xdr:from>
    <xdr:to>
      <xdr:col>93</xdr:col>
      <xdr:colOff>519792</xdr:colOff>
      <xdr:row>10</xdr:row>
      <xdr:rowOff>65886</xdr:rowOff>
    </xdr:to>
    <xdr:sp macro="" textlink="">
      <xdr:nvSpPr>
        <xdr:cNvPr id="18" name="Down Arrow 2">
          <a:extLst>
            <a:ext uri="{FF2B5EF4-FFF2-40B4-BE49-F238E27FC236}">
              <a16:creationId xmlns:a16="http://schemas.microsoft.com/office/drawing/2014/main" id="{2CB44F90-E29D-422D-90E6-1A174BC31898}"/>
            </a:ext>
          </a:extLst>
        </xdr:cNvPr>
        <xdr:cNvSpPr/>
      </xdr:nvSpPr>
      <xdr:spPr>
        <a:xfrm>
          <a:off x="84826928" y="3864429"/>
          <a:ext cx="2356757" cy="664600"/>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6</xdr:col>
      <xdr:colOff>919784</xdr:colOff>
      <xdr:row>8</xdr:row>
      <xdr:rowOff>108858</xdr:rowOff>
    </xdr:from>
    <xdr:to>
      <xdr:col>6</xdr:col>
      <xdr:colOff>2095500</xdr:colOff>
      <xdr:row>10</xdr:row>
      <xdr:rowOff>122737</xdr:rowOff>
    </xdr:to>
    <xdr:sp macro="" textlink="">
      <xdr:nvSpPr>
        <xdr:cNvPr id="2" name="Down Arrow 2">
          <a:extLst>
            <a:ext uri="{FF2B5EF4-FFF2-40B4-BE49-F238E27FC236}">
              <a16:creationId xmlns:a16="http://schemas.microsoft.com/office/drawing/2014/main" id="{71D504DA-085E-41DD-BD94-9A2E950B229E}"/>
            </a:ext>
          </a:extLst>
        </xdr:cNvPr>
        <xdr:cNvSpPr/>
      </xdr:nvSpPr>
      <xdr:spPr>
        <a:xfrm>
          <a:off x="7711109" y="3890283"/>
          <a:ext cx="1175716" cy="709204"/>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6</xdr:col>
      <xdr:colOff>2933700</xdr:colOff>
      <xdr:row>8</xdr:row>
      <xdr:rowOff>50510</xdr:rowOff>
    </xdr:from>
    <xdr:to>
      <xdr:col>9</xdr:col>
      <xdr:colOff>0</xdr:colOff>
      <xdr:row>10</xdr:row>
      <xdr:rowOff>238124</xdr:rowOff>
    </xdr:to>
    <xdr:sp macro="" textlink="">
      <xdr:nvSpPr>
        <xdr:cNvPr id="4" name="Arrow: Down 3">
          <a:extLst>
            <a:ext uri="{FF2B5EF4-FFF2-40B4-BE49-F238E27FC236}">
              <a16:creationId xmlns:a16="http://schemas.microsoft.com/office/drawing/2014/main" id="{15D147C8-9971-4E46-89D3-E323AF05C874}"/>
            </a:ext>
          </a:extLst>
        </xdr:cNvPr>
        <xdr:cNvSpPr/>
      </xdr:nvSpPr>
      <xdr:spPr>
        <a:xfrm>
          <a:off x="9725025" y="3831935"/>
          <a:ext cx="1119188" cy="882939"/>
        </a:xfrm>
        <a:prstGeom prst="downArrow">
          <a:avLst/>
        </a:prstGeom>
        <a:solidFill>
          <a:schemeClr val="accent1">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190500</xdr:colOff>
      <xdr:row>8</xdr:row>
      <xdr:rowOff>81643</xdr:rowOff>
    </xdr:from>
    <xdr:to>
      <xdr:col>13</xdr:col>
      <xdr:colOff>946737</xdr:colOff>
      <xdr:row>10</xdr:row>
      <xdr:rowOff>153122</xdr:rowOff>
    </xdr:to>
    <xdr:sp macro="" textlink="">
      <xdr:nvSpPr>
        <xdr:cNvPr id="5" name="Arrow: Down 4">
          <a:extLst>
            <a:ext uri="{FF2B5EF4-FFF2-40B4-BE49-F238E27FC236}">
              <a16:creationId xmlns:a16="http://schemas.microsoft.com/office/drawing/2014/main" id="{93FD6C59-55E4-4E09-83D6-4B6A7D0E6F80}"/>
            </a:ext>
          </a:extLst>
        </xdr:cNvPr>
        <xdr:cNvSpPr/>
      </xdr:nvSpPr>
      <xdr:spPr>
        <a:xfrm>
          <a:off x="14878050" y="3863068"/>
          <a:ext cx="756237" cy="766804"/>
        </a:xfrm>
        <a:prstGeom prst="downArrow">
          <a:avLst/>
        </a:prstGeom>
        <a:solidFill>
          <a:schemeClr val="accent4">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83002</xdr:colOff>
      <xdr:row>7</xdr:row>
      <xdr:rowOff>122464</xdr:rowOff>
    </xdr:from>
    <xdr:to>
      <xdr:col>14</xdr:col>
      <xdr:colOff>1025978</xdr:colOff>
      <xdr:row>10</xdr:row>
      <xdr:rowOff>53068</xdr:rowOff>
    </xdr:to>
    <xdr:sp macro="" textlink="">
      <xdr:nvSpPr>
        <xdr:cNvPr id="6" name="Down Arrow 2">
          <a:extLst>
            <a:ext uri="{FF2B5EF4-FFF2-40B4-BE49-F238E27FC236}">
              <a16:creationId xmlns:a16="http://schemas.microsoft.com/office/drawing/2014/main" id="{D5221B8C-84DC-402D-95E3-755A68C79B84}"/>
            </a:ext>
          </a:extLst>
        </xdr:cNvPr>
        <xdr:cNvSpPr/>
      </xdr:nvSpPr>
      <xdr:spPr>
        <a:xfrm>
          <a:off x="16251690" y="2703739"/>
          <a:ext cx="942976" cy="1826079"/>
        </a:xfrm>
        <a:prstGeom prst="downArrow">
          <a:avLst/>
        </a:prstGeom>
        <a:solidFill>
          <a:srgbClr val="FD9BF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15</xdr:col>
      <xdr:colOff>194583</xdr:colOff>
      <xdr:row>7</xdr:row>
      <xdr:rowOff>87086</xdr:rowOff>
    </xdr:from>
    <xdr:to>
      <xdr:col>15</xdr:col>
      <xdr:colOff>947057</xdr:colOff>
      <xdr:row>10</xdr:row>
      <xdr:rowOff>125186</xdr:rowOff>
    </xdr:to>
    <xdr:sp macro="" textlink="">
      <xdr:nvSpPr>
        <xdr:cNvPr id="7" name="Arrow: Down 6">
          <a:extLst>
            <a:ext uri="{FF2B5EF4-FFF2-40B4-BE49-F238E27FC236}">
              <a16:creationId xmlns:a16="http://schemas.microsoft.com/office/drawing/2014/main" id="{58738D0A-9444-4DC8-900F-745212893152}"/>
            </a:ext>
          </a:extLst>
        </xdr:cNvPr>
        <xdr:cNvSpPr/>
      </xdr:nvSpPr>
      <xdr:spPr>
        <a:xfrm>
          <a:off x="17482458" y="2668361"/>
          <a:ext cx="752474" cy="1933575"/>
        </a:xfrm>
        <a:prstGeom prst="downArrow">
          <a:avLst/>
        </a:prstGeom>
        <a:solidFill>
          <a:srgbClr val="FF7D7D"/>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204108</xdr:colOff>
      <xdr:row>7</xdr:row>
      <xdr:rowOff>108857</xdr:rowOff>
    </xdr:from>
    <xdr:to>
      <xdr:col>20</xdr:col>
      <xdr:colOff>1183822</xdr:colOff>
      <xdr:row>10</xdr:row>
      <xdr:rowOff>153122</xdr:rowOff>
    </xdr:to>
    <xdr:sp macro="" textlink="">
      <xdr:nvSpPr>
        <xdr:cNvPr id="8" name="Arrow: Down 7">
          <a:extLst>
            <a:ext uri="{FF2B5EF4-FFF2-40B4-BE49-F238E27FC236}">
              <a16:creationId xmlns:a16="http://schemas.microsoft.com/office/drawing/2014/main" id="{D201A9AC-0DDE-4208-953C-F6D0830ACE8C}"/>
            </a:ext>
          </a:extLst>
        </xdr:cNvPr>
        <xdr:cNvSpPr/>
      </xdr:nvSpPr>
      <xdr:spPr>
        <a:xfrm>
          <a:off x="22611671" y="2690132"/>
          <a:ext cx="979714" cy="1939740"/>
        </a:xfrm>
        <a:prstGeom prst="downArrow">
          <a:avLst/>
        </a:prstGeom>
        <a:solidFill>
          <a:schemeClr val="accent4">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27215</xdr:colOff>
      <xdr:row>6</xdr:row>
      <xdr:rowOff>81642</xdr:rowOff>
    </xdr:from>
    <xdr:to>
      <xdr:col>24</xdr:col>
      <xdr:colOff>81645</xdr:colOff>
      <xdr:row>10</xdr:row>
      <xdr:rowOff>30656</xdr:rowOff>
    </xdr:to>
    <xdr:sp macro="" textlink="">
      <xdr:nvSpPr>
        <xdr:cNvPr id="10" name="Arrow: Down 9">
          <a:extLst>
            <a:ext uri="{FF2B5EF4-FFF2-40B4-BE49-F238E27FC236}">
              <a16:creationId xmlns:a16="http://schemas.microsoft.com/office/drawing/2014/main" id="{D73CAD21-7821-4A9D-A0FD-CED2A8DB9DB6}"/>
            </a:ext>
          </a:extLst>
        </xdr:cNvPr>
        <xdr:cNvSpPr/>
      </xdr:nvSpPr>
      <xdr:spPr>
        <a:xfrm>
          <a:off x="25944740" y="2196192"/>
          <a:ext cx="968830" cy="2311214"/>
        </a:xfrm>
        <a:prstGeom prst="downArrow">
          <a:avLst/>
        </a:prstGeom>
        <a:solidFill>
          <a:schemeClr val="accent2">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99</xdr:col>
      <xdr:colOff>364673</xdr:colOff>
      <xdr:row>8</xdr:row>
      <xdr:rowOff>141513</xdr:rowOff>
    </xdr:from>
    <xdr:to>
      <xdr:col>100</xdr:col>
      <xdr:colOff>66676</xdr:colOff>
      <xdr:row>10</xdr:row>
      <xdr:rowOff>112149</xdr:rowOff>
    </xdr:to>
    <xdr:sp macro="" textlink="">
      <xdr:nvSpPr>
        <xdr:cNvPr id="15" name="Down Arrow 2">
          <a:extLst>
            <a:ext uri="{FF2B5EF4-FFF2-40B4-BE49-F238E27FC236}">
              <a16:creationId xmlns:a16="http://schemas.microsoft.com/office/drawing/2014/main" id="{7D49A384-1475-485E-BB7F-85D5F0F60CDF}"/>
            </a:ext>
          </a:extLst>
        </xdr:cNvPr>
        <xdr:cNvSpPr/>
      </xdr:nvSpPr>
      <xdr:spPr>
        <a:xfrm>
          <a:off x="99100823" y="3922938"/>
          <a:ext cx="1802266" cy="665961"/>
        </a:xfrm>
        <a:prstGeom prst="down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90</xdr:col>
      <xdr:colOff>258535</xdr:colOff>
      <xdr:row>8</xdr:row>
      <xdr:rowOff>95250</xdr:rowOff>
    </xdr:from>
    <xdr:to>
      <xdr:col>93</xdr:col>
      <xdr:colOff>519792</xdr:colOff>
      <xdr:row>10</xdr:row>
      <xdr:rowOff>65886</xdr:rowOff>
    </xdr:to>
    <xdr:sp macro="" textlink="">
      <xdr:nvSpPr>
        <xdr:cNvPr id="19" name="Down Arrow 2">
          <a:extLst>
            <a:ext uri="{FF2B5EF4-FFF2-40B4-BE49-F238E27FC236}">
              <a16:creationId xmlns:a16="http://schemas.microsoft.com/office/drawing/2014/main" id="{7D403B58-A853-439D-8A2D-2923395DD112}"/>
            </a:ext>
          </a:extLst>
        </xdr:cNvPr>
        <xdr:cNvSpPr/>
      </xdr:nvSpPr>
      <xdr:spPr>
        <a:xfrm>
          <a:off x="90774610" y="3876675"/>
          <a:ext cx="2532970" cy="665961"/>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6</xdr:col>
      <xdr:colOff>919784</xdr:colOff>
      <xdr:row>8</xdr:row>
      <xdr:rowOff>108858</xdr:rowOff>
    </xdr:from>
    <xdr:to>
      <xdr:col>6</xdr:col>
      <xdr:colOff>2095500</xdr:colOff>
      <xdr:row>10</xdr:row>
      <xdr:rowOff>122737</xdr:rowOff>
    </xdr:to>
    <xdr:sp macro="" textlink="">
      <xdr:nvSpPr>
        <xdr:cNvPr id="20" name="Down Arrow 2">
          <a:extLst>
            <a:ext uri="{FF2B5EF4-FFF2-40B4-BE49-F238E27FC236}">
              <a16:creationId xmlns:a16="http://schemas.microsoft.com/office/drawing/2014/main" id="{15153235-403D-48B2-AFAF-0E5D5F7AAE74}"/>
            </a:ext>
          </a:extLst>
        </xdr:cNvPr>
        <xdr:cNvSpPr/>
      </xdr:nvSpPr>
      <xdr:spPr>
        <a:xfrm>
          <a:off x="7711109" y="3890283"/>
          <a:ext cx="1175716" cy="709204"/>
        </a:xfrm>
        <a:prstGeom prst="downArrow">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13</xdr:col>
      <xdr:colOff>190500</xdr:colOff>
      <xdr:row>8</xdr:row>
      <xdr:rowOff>81643</xdr:rowOff>
    </xdr:from>
    <xdr:to>
      <xdr:col>13</xdr:col>
      <xdr:colOff>946737</xdr:colOff>
      <xdr:row>10</xdr:row>
      <xdr:rowOff>153122</xdr:rowOff>
    </xdr:to>
    <xdr:sp macro="" textlink="">
      <xdr:nvSpPr>
        <xdr:cNvPr id="21" name="Arrow: Down 20">
          <a:extLst>
            <a:ext uri="{FF2B5EF4-FFF2-40B4-BE49-F238E27FC236}">
              <a16:creationId xmlns:a16="http://schemas.microsoft.com/office/drawing/2014/main" id="{A79CA96E-53C1-4239-9092-1B316CE1BB79}"/>
            </a:ext>
          </a:extLst>
        </xdr:cNvPr>
        <xdr:cNvSpPr/>
      </xdr:nvSpPr>
      <xdr:spPr>
        <a:xfrm>
          <a:off x="14878050" y="3863068"/>
          <a:ext cx="756237" cy="766804"/>
        </a:xfrm>
        <a:prstGeom prst="downArrow">
          <a:avLst/>
        </a:prstGeom>
        <a:solidFill>
          <a:schemeClr val="accent4">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83002</xdr:colOff>
      <xdr:row>7</xdr:row>
      <xdr:rowOff>122464</xdr:rowOff>
    </xdr:from>
    <xdr:to>
      <xdr:col>14</xdr:col>
      <xdr:colOff>1025978</xdr:colOff>
      <xdr:row>10</xdr:row>
      <xdr:rowOff>53068</xdr:rowOff>
    </xdr:to>
    <xdr:sp macro="" textlink="">
      <xdr:nvSpPr>
        <xdr:cNvPr id="22" name="Down Arrow 2">
          <a:extLst>
            <a:ext uri="{FF2B5EF4-FFF2-40B4-BE49-F238E27FC236}">
              <a16:creationId xmlns:a16="http://schemas.microsoft.com/office/drawing/2014/main" id="{4504FFEC-E68B-4CAD-BDA2-3A7FD8D7B73D}"/>
            </a:ext>
          </a:extLst>
        </xdr:cNvPr>
        <xdr:cNvSpPr/>
      </xdr:nvSpPr>
      <xdr:spPr>
        <a:xfrm>
          <a:off x="16251690" y="2703739"/>
          <a:ext cx="942976" cy="1826079"/>
        </a:xfrm>
        <a:prstGeom prst="downArrow">
          <a:avLst/>
        </a:prstGeom>
        <a:solidFill>
          <a:srgbClr val="FD9BF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15</xdr:col>
      <xdr:colOff>194583</xdr:colOff>
      <xdr:row>7</xdr:row>
      <xdr:rowOff>87086</xdr:rowOff>
    </xdr:from>
    <xdr:to>
      <xdr:col>15</xdr:col>
      <xdr:colOff>947057</xdr:colOff>
      <xdr:row>10</xdr:row>
      <xdr:rowOff>125186</xdr:rowOff>
    </xdr:to>
    <xdr:sp macro="" textlink="">
      <xdr:nvSpPr>
        <xdr:cNvPr id="23" name="Arrow: Down 22">
          <a:extLst>
            <a:ext uri="{FF2B5EF4-FFF2-40B4-BE49-F238E27FC236}">
              <a16:creationId xmlns:a16="http://schemas.microsoft.com/office/drawing/2014/main" id="{7A642198-657F-4156-9BE5-82EBBD15B246}"/>
            </a:ext>
          </a:extLst>
        </xdr:cNvPr>
        <xdr:cNvSpPr/>
      </xdr:nvSpPr>
      <xdr:spPr>
        <a:xfrm>
          <a:off x="17482458" y="2668361"/>
          <a:ext cx="752474" cy="1933575"/>
        </a:xfrm>
        <a:prstGeom prst="downArrow">
          <a:avLst/>
        </a:prstGeom>
        <a:solidFill>
          <a:srgbClr val="FF7D7D"/>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20</xdr:col>
      <xdr:colOff>204108</xdr:colOff>
      <xdr:row>7</xdr:row>
      <xdr:rowOff>108857</xdr:rowOff>
    </xdr:from>
    <xdr:to>
      <xdr:col>20</xdr:col>
      <xdr:colOff>1183822</xdr:colOff>
      <xdr:row>10</xdr:row>
      <xdr:rowOff>153122</xdr:rowOff>
    </xdr:to>
    <xdr:sp macro="" textlink="">
      <xdr:nvSpPr>
        <xdr:cNvPr id="24" name="Arrow: Down 23">
          <a:extLst>
            <a:ext uri="{FF2B5EF4-FFF2-40B4-BE49-F238E27FC236}">
              <a16:creationId xmlns:a16="http://schemas.microsoft.com/office/drawing/2014/main" id="{B9B69CC8-C4EA-4D18-BED1-259A4F62F0EE}"/>
            </a:ext>
          </a:extLst>
        </xdr:cNvPr>
        <xdr:cNvSpPr/>
      </xdr:nvSpPr>
      <xdr:spPr>
        <a:xfrm>
          <a:off x="22611671" y="2690132"/>
          <a:ext cx="979714" cy="1939740"/>
        </a:xfrm>
        <a:prstGeom prst="downArrow">
          <a:avLst/>
        </a:prstGeom>
        <a:solidFill>
          <a:schemeClr val="accent4">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27215</xdr:colOff>
      <xdr:row>6</xdr:row>
      <xdr:rowOff>81642</xdr:rowOff>
    </xdr:from>
    <xdr:to>
      <xdr:col>24</xdr:col>
      <xdr:colOff>81645</xdr:colOff>
      <xdr:row>10</xdr:row>
      <xdr:rowOff>30656</xdr:rowOff>
    </xdr:to>
    <xdr:sp macro="" textlink="">
      <xdr:nvSpPr>
        <xdr:cNvPr id="25" name="Arrow: Down 24">
          <a:extLst>
            <a:ext uri="{FF2B5EF4-FFF2-40B4-BE49-F238E27FC236}">
              <a16:creationId xmlns:a16="http://schemas.microsoft.com/office/drawing/2014/main" id="{6CB6A973-1E92-4368-87B7-D6BE8ACC0194}"/>
            </a:ext>
          </a:extLst>
        </xdr:cNvPr>
        <xdr:cNvSpPr/>
      </xdr:nvSpPr>
      <xdr:spPr>
        <a:xfrm>
          <a:off x="25944740" y="2196192"/>
          <a:ext cx="968830" cy="2311214"/>
        </a:xfrm>
        <a:prstGeom prst="downArrow">
          <a:avLst/>
        </a:prstGeom>
        <a:solidFill>
          <a:schemeClr val="accent2">
            <a:lumMod val="40000"/>
            <a:lumOff val="60000"/>
          </a:schemeClr>
        </a:solidFill>
        <a:ln>
          <a:solidFill>
            <a:schemeClr val="tx2"/>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99</xdr:col>
      <xdr:colOff>174172</xdr:colOff>
      <xdr:row>8</xdr:row>
      <xdr:rowOff>122463</xdr:rowOff>
    </xdr:from>
    <xdr:to>
      <xdr:col>100</xdr:col>
      <xdr:colOff>381000</xdr:colOff>
      <xdr:row>10</xdr:row>
      <xdr:rowOff>93099</xdr:rowOff>
    </xdr:to>
    <xdr:sp macro="" textlink="">
      <xdr:nvSpPr>
        <xdr:cNvPr id="26" name="Down Arrow 2">
          <a:extLst>
            <a:ext uri="{FF2B5EF4-FFF2-40B4-BE49-F238E27FC236}">
              <a16:creationId xmlns:a16="http://schemas.microsoft.com/office/drawing/2014/main" id="{A267B120-9DE8-4FF7-BFDD-5766FC6BFE2F}"/>
            </a:ext>
          </a:extLst>
        </xdr:cNvPr>
        <xdr:cNvSpPr/>
      </xdr:nvSpPr>
      <xdr:spPr>
        <a:xfrm>
          <a:off x="98910322" y="3903888"/>
          <a:ext cx="2307091" cy="665961"/>
        </a:xfrm>
        <a:prstGeom prst="down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PI.DESKTOP-7AAIM30/Downloads/M_B_GY_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_B_GY_4_M1"/>
      <sheetName val="M_B_GY_4_M2"/>
      <sheetName val="M_B_GY_4_M3"/>
      <sheetName val="M_B_GY_4_M4"/>
      <sheetName val="قاعدة البيانات"/>
      <sheetName val="Exercise Videos"/>
    </sheetNames>
    <sheetDataSet>
      <sheetData sheetId="0" refreshError="1"/>
      <sheetData sheetId="1" refreshError="1"/>
      <sheetData sheetId="2" refreshError="1"/>
      <sheetData sheetId="3" refreshError="1"/>
      <sheetData sheetId="4"/>
      <sheetData sheetId="5">
        <row r="2">
          <cell r="I2" t="str">
            <v>SUPER SET</v>
          </cell>
        </row>
        <row r="3">
          <cell r="I3" t="str">
            <v>NOTE</v>
          </cell>
        </row>
        <row r="4">
          <cell r="I4">
            <v>1</v>
          </cell>
        </row>
        <row r="5">
          <cell r="I5">
            <v>2</v>
          </cell>
        </row>
        <row r="6">
          <cell r="I6">
            <v>3</v>
          </cell>
        </row>
        <row r="7">
          <cell r="I7">
            <v>4</v>
          </cell>
        </row>
        <row r="8">
          <cell r="I8">
            <v>5</v>
          </cell>
        </row>
        <row r="9">
          <cell r="I9">
            <v>6</v>
          </cell>
        </row>
        <row r="10">
          <cell r="I10">
            <v>7</v>
          </cell>
        </row>
        <row r="11">
          <cell r="I11">
            <v>8</v>
          </cell>
        </row>
        <row r="12">
          <cell r="I12">
            <v>9</v>
          </cell>
        </row>
        <row r="13">
          <cell r="I13">
            <v>10</v>
          </cell>
        </row>
        <row r="14">
          <cell r="I14">
            <v>11</v>
          </cell>
        </row>
        <row r="15">
          <cell r="I15">
            <v>12</v>
          </cell>
        </row>
        <row r="16">
          <cell r="I16">
            <v>13</v>
          </cell>
        </row>
        <row r="17">
          <cell r="I17">
            <v>14</v>
          </cell>
        </row>
        <row r="18">
          <cell r="I18">
            <v>15</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32D5060-32B0-42AC-8908-DAB280E1AF81}" name="سواعد" displayName="سواعد" ref="B288:C293" totalsRowShown="0">
  <autoFilter ref="B288:C293" xr:uid="{AEACDC88-0067-4649-9E8A-2A77FFC8AB04}"/>
  <tableColumns count="2">
    <tableColumn id="1" xr3:uid="{DEF387CE-BA74-4B03-AF67-5AFD510BB6AC}" name="التمرين" dataDxfId="252"/>
    <tableColumn id="2" xr3:uid="{D03599C5-408C-44CC-AED7-22DA54D89E6F}" name="الرابط" dataDxfId="251" dataCellStyle="Hyper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A490376-C998-46DA-A3FB-3AD88C84DBE8}" name="بطن" displayName="بطن" ref="B270:C286" totalsRowShown="0">
  <autoFilter ref="B270:C286" xr:uid="{B69C9372-8B2F-442A-BDCF-4C90273ED41C}"/>
  <sortState xmlns:xlrd2="http://schemas.microsoft.com/office/spreadsheetml/2017/richdata2" ref="B271:C279">
    <sortCondition ref="B270:B279"/>
  </sortState>
  <tableColumns count="2">
    <tableColumn id="1" xr3:uid="{231410D6-F9F2-47C9-B0C6-A791D49423C7}" name="التمرين" dataDxfId="250"/>
    <tableColumn id="2" xr3:uid="{AE4173FE-FDB8-4430-82C7-65C0D38BA728}" name="الرابط" dataDxfId="249" dataCellStyle="Hyper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86150C6-DB59-4206-8C5B-3AA91457F7AB}" name="مثلثات" displayName="مثلثات" ref="B256:C268" totalsRowShown="0">
  <autoFilter ref="B256:C268" xr:uid="{5E0EC91F-9396-4379-A1CC-64B3BCE3ED0B}"/>
  <tableColumns count="2">
    <tableColumn id="1" xr3:uid="{0CB62144-AFBE-433A-BCB8-64515D8C226F}" name="التمرين" dataDxfId="248"/>
    <tableColumn id="2" xr3:uid="{A01CE599-53EC-43E1-99F8-22786EB39C1F}" name="الرابط" dataDxfId="247" dataCellStyle="Hyper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3A5CBA7-66D8-4A13-87E6-A13A22341CEC}" name="ترايسيبس" displayName="ترايسيبس" ref="B234:C254" totalsRowShown="0">
  <autoFilter ref="B234:C254" xr:uid="{5CB42C85-551C-4F3F-8751-6958CD1BB935}"/>
  <tableColumns count="2">
    <tableColumn id="1" xr3:uid="{065A797F-0197-46AB-8B3C-754377B410ED}" name="التمرين" dataDxfId="246"/>
    <tableColumn id="2" xr3:uid="{343A0963-6556-4812-A5CC-CAFB60C217A9}" name="الرابط"/>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E36A12-32D4-4DCF-905A-E91F382472F8}" name="بايسيبس" displayName="بايسيبس" ref="B214:C232" totalsRowShown="0">
  <autoFilter ref="B214:C232" xr:uid="{F7C5AF8D-23BC-4DED-AF4D-A79F1F5031E6}"/>
  <tableColumns count="2">
    <tableColumn id="1" xr3:uid="{316CB32E-F109-46D8-956B-C5A1284C923C}" name="التمرين" dataDxfId="245"/>
    <tableColumn id="2" xr3:uid="{F5AC46A5-5346-49E6-9A46-4C550E5FAC8B}" name="الرابط" dataDxfId="244" dataCellStyle="Hyper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CD581F-EA9E-4753-B6FE-8F0002153240}" name="سحب_أفقي_ظهر" displayName="سحب_أفقي_ظهر" ref="B198:C212" totalsRowShown="0">
  <autoFilter ref="B198:C212" xr:uid="{1903E869-2570-4B88-BB87-AB44A3D84596}"/>
  <tableColumns count="2">
    <tableColumn id="1" xr3:uid="{19EBE484-9E2A-4CF2-8497-125E1F2F556A}" name="التمرين" dataDxfId="243"/>
    <tableColumn id="2" xr3:uid="{194974B9-FE55-4699-9E41-1C28B309BD67}" name="الرابط" dataDxfId="242" dataCellStyle="Hyperlin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9EBFD16-3E71-4782-90FE-9690898E735F}" name="سحب_رأسي_ظهر" displayName="سحب_رأسي_ظهر" ref="B182:C196" totalsRowShown="0">
  <autoFilter ref="B182:C196" xr:uid="{B5D600CB-C79B-4304-B7B3-7981BDB187F4}"/>
  <tableColumns count="2">
    <tableColumn id="1" xr3:uid="{AC2310FA-D7BB-41C2-8F2D-3640000B2564}" name="التمرين" dataDxfId="241"/>
    <tableColumn id="2" xr3:uid="{D886ED10-5DC6-45E8-A4B5-AA6F27BFBBCA}" name="الرابط" dataDxfId="240" dataCellStyle="Hyperlin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2A850D8-71E2-42AD-9CCA-0D05062F09A5}" name="صدر_عزل" displayName="صدر_عزل" ref="B172:C180" totalsRowShown="0">
  <autoFilter ref="B172:C180" xr:uid="{DEE29EA9-28F7-4B4A-A0FA-064F202E2F67}"/>
  <tableColumns count="2">
    <tableColumn id="1" xr3:uid="{F2A3D908-76D8-418F-828E-8442AF033750}" name="التمرين" dataDxfId="239"/>
    <tableColumn id="2" xr3:uid="{82984835-C4C3-4161-86D0-ECEC415A9C01}" name="الرابط" dataDxfId="238" dataCellStyle="Hyperlink"/>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3B5C504-8F6B-4EC4-92BB-67BE4D8F62BC}" name="صدر_مستوي" displayName="صدر_مستوي" ref="B161:C169" totalsRowShown="0">
  <autoFilter ref="B161:C169" xr:uid="{F694F7FA-4EA8-4328-9E85-CA507A73A095}"/>
  <tableColumns count="2">
    <tableColumn id="1" xr3:uid="{78F7D5BD-C394-44A8-AD32-E66FB4422162}" name="التمرين" dataDxfId="237"/>
    <tableColumn id="2" xr3:uid="{CFDACE31-6A2E-48F0-9E7A-864C02041EC9}" name="الرابط" dataCellStyle="Hyperlin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D253A4E-5995-44CE-B06C-1180931515DE}" name="صدر_علوي" displayName="صدر_علوي" ref="B153:C159" totalsRowShown="0">
  <autoFilter ref="B153:C159" xr:uid="{7579F564-A354-4721-9843-36FCB6994A85}"/>
  <tableColumns count="2">
    <tableColumn id="1" xr3:uid="{0B64F083-6C2F-4A54-9DF7-B72B9A3FE64F}" name="التمرين" dataDxfId="236"/>
    <tableColumn id="2" xr3:uid="{B4A810F8-BA39-4877-8EC1-C86A560CAAD1}" name="الرابط" dataCellStyle="Hyperlink"/>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6D521E6-4CAB-4784-8563-3860D98F99D7}" name="أكتاف_خلفي" displayName="أكتاف_خلفي" ref="B142:C151" totalsRowShown="0">
  <autoFilter ref="B142:C151" xr:uid="{262BC669-31A4-4EF1-BB11-2F991A2E8C77}"/>
  <tableColumns count="2">
    <tableColumn id="1" xr3:uid="{E7D47A4A-9AD7-429C-ACE1-D2A5E2AF9BA8}" name="التمرين" dataDxfId="235"/>
    <tableColumn id="2" xr3:uid="{3846CC21-AC0E-4B5E-B4D7-A8CB096CBBBE}" name="الرابط" dataCellStyle="Hyperlink"/>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4D90223-70DE-4052-9F88-E1F602F831CB}" name="اكتاف_جانبي" displayName="اكتاف_جانبي" ref="B130:C140" totalsRowShown="0">
  <autoFilter ref="B130:C140" xr:uid="{12E49FD6-3E72-4BDE-B597-CA337CFA8E9D}"/>
  <tableColumns count="2">
    <tableColumn id="1" xr3:uid="{EDB9DEF8-4B6A-48E1-8DF5-8D342A395BE2}" name="التمرين" dataDxfId="234"/>
    <tableColumn id="2" xr3:uid="{35545D56-9952-4BC5-B2A2-ECAD5D7A8009}" name="الرابط" dataCellStyle="Hyperlink"/>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7EDAD4B-B464-4910-9574-D357993628A9}" name="أكتاف_أمامي" displayName="أكتاف_أمامي" ref="B125:C128" totalsRowShown="0">
  <autoFilter ref="B125:C128" xr:uid="{DE1632D9-EA33-4FD4-AF99-DA53916F1562}"/>
  <tableColumns count="2">
    <tableColumn id="1" xr3:uid="{3ED2B427-E8E9-4C70-B507-E539D2620BD1}" name="التمرين" dataDxfId="233"/>
    <tableColumn id="2" xr3:uid="{B078CC24-DF40-46D1-8B24-97546DE09F82}" name="الرابط" dataCellStyle="Hyperlink"/>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D796AF3-C147-45D5-8583-112DE6C934F0}" name="البطات" displayName="البطات" ref="B115:C123" totalsRowShown="0">
  <autoFilter ref="B115:C123" xr:uid="{10159CF6-B647-41CA-A53B-DBF1CC121865}"/>
  <tableColumns count="2">
    <tableColumn id="1" xr3:uid="{2708258F-A782-4140-988D-E278401E5CCE}" name="التمرين" dataDxfId="232"/>
    <tableColumn id="2" xr3:uid="{01BAF510-1DE3-4C1D-984D-FB8CC302BDF3}" name="الرابط" dataCellStyle="Hyperlink"/>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3DB6F9-D876-4537-B712-2C97D78FF408}" name="أرداف" displayName="أرداف" ref="B98:C113" totalsRowShown="0">
  <autoFilter ref="B98:C113" xr:uid="{A1CE373A-93B7-4D79-AC06-838D8D67C229}"/>
  <tableColumns count="2">
    <tableColumn id="1" xr3:uid="{47E78CA6-9783-4AED-BDB1-0ABEC4673544}" name="التمرين" dataDxfId="231"/>
    <tableColumn id="2" xr3:uid="{F335782D-BAF3-4253-BC97-84FF9B0C3643}" name="الرابط" dataDxfId="230" dataCellStyle="Hyperlink"/>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8B445CD-6800-4664-8BA2-83CD266ECFAC}" name="رجلين_أمامي" displayName="رجلين_أمامي" ref="B67:C69" totalsRowShown="0">
  <autoFilter ref="B67:C69" xr:uid="{5C82880D-ACEC-41C5-8DED-75DD632395E9}"/>
  <tableColumns count="2">
    <tableColumn id="1" xr3:uid="{1F139345-0C7D-424E-8401-CE64025CB23B}" name="التمرين" dataDxfId="229"/>
    <tableColumn id="2" xr3:uid="{B9FA2A7A-D25F-4C7B-92AF-8B3AF2A42356}" name="الرابط" dataCellStyle="Hyperlink"/>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EF8DC8C-DF79-44F4-BE5E-4E79EED3261F}" name="رجلين_خلفي_عزل" displayName="رجلين_خلفي_عزل" ref="B86:C89" totalsRowShown="0">
  <autoFilter ref="B86:C89" xr:uid="{E9F227DB-7337-4D75-8870-1359FF2C9D58}"/>
  <tableColumns count="2">
    <tableColumn id="1" xr3:uid="{6FDC269A-A15B-4E49-9E9F-AE777AB2AB71}" name="التمرين" dataDxfId="228"/>
    <tableColumn id="2" xr3:uid="{823536D0-AA3F-4BB8-A61E-D31A29E7184E}" name="الرابط" dataCellStyle="Hyperlink"/>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2A04ECC3-35C5-4EC1-A323-F73CD14FECC5}" name="رجل_خلفي_حوض_للوراء" displayName="رجل_خلفي_حوض_للوراء" ref="B91:C96" totalsRowShown="0">
  <autoFilter ref="B91:C96" xr:uid="{9EF6DF82-592A-42EE-9126-E6CC34CEA224}"/>
  <tableColumns count="2">
    <tableColumn id="1" xr3:uid="{6B6C72DF-D25C-4574-B98D-5F310E60C965}" name="التمرين" dataDxfId="227"/>
    <tableColumn id="2" xr3:uid="{F2D276AC-5D55-4CB4-91D3-BEBA8D9DECF7}" name="الرابط" dataCellStyle="Hyperlink"/>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D5F539-2AC4-4977-92AE-14B322F4D61B}" name="Links" displayName="Links" ref="B634:D1058" totalsRowShown="0">
  <autoFilter ref="B634:D1058" xr:uid="{351BDF67-5246-454D-B24B-FB7714544C27}"/>
  <tableColumns count="3">
    <tableColumn id="1" xr3:uid="{9D0ED3E9-5D28-48BF-AF85-22E08B624CD0}" name="التمرين" dataDxfId="226"/>
    <tableColumn id="2" xr3:uid="{04C66A0D-DF2E-4A72-8B6E-467CF1A2E1C6}" name="الرابط" dataDxfId="225" dataCellStyle="Hyperlink"/>
    <tableColumn id="3" xr3:uid="{8E2F74EC-AAC6-4E79-B12F-0C5A813AEFCB}" name="category" dataDxfId="22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AB9E631-E08E-4A7B-9946-AD6548D9D0EA}" name="Table_Name" displayName="Table_Name" ref="B582:D631" totalsRowShown="0">
  <autoFilter ref="B582:D631" xr:uid="{0435A95B-8BEA-4A1D-AF78-6BA896192358}"/>
  <tableColumns count="3">
    <tableColumn id="1" xr3:uid="{C05660D3-93C4-4597-B0A5-7FE34658AA5B}" name="category" dataDxfId="223"/>
    <tableColumn id="2" xr3:uid="{82D069E6-BEC9-4F75-955A-E4FF6E1B49F5}" name="Table Name" dataDxfId="222"/>
    <tableColumn id="3" xr3:uid="{F63AABA5-0DDA-4144-8B74-F1B31F2774AC}" name="Name list">
      <calculatedColumnFormula>_xlfn.CONCAT($C583,"[التمرين]")</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7679A35-ACAA-445D-B38E-5001E51A4492}" name="رجلين_سكوات" displayName="رجلين_سكوات" ref="B71:C84" totalsRowShown="0" headerRowDxfId="221" headerRowBorderDxfId="220" tableBorderDxfId="219" totalsRowBorderDxfId="218">
  <autoFilter ref="B71:C84" xr:uid="{4125C5F1-2374-4F1F-9639-61E6252CCB26}"/>
  <tableColumns count="2">
    <tableColumn id="1" xr3:uid="{78FCAA85-CC35-4CBF-872B-1FFA326C561E}" name="التمرين" dataDxfId="217"/>
    <tableColumn id="2" xr3:uid="{870246FD-2786-4D63-B7B7-616A517CEEE2}" name="الرابط"/>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3D60147-630D-4514-BBF3-97B2A3C27042}" name="مثلثات_دامبل" displayName="مثلثات_دامبل" ref="B297:C301" totalsRowShown="0">
  <autoFilter ref="B297:C301" xr:uid="{ABDC3C76-8180-47EF-AE57-0B02781CB8A2}"/>
  <tableColumns count="2">
    <tableColumn id="1" xr3:uid="{DCC8B78D-E31F-4F70-AA18-214A8AE9A0E5}" name="التمرين" dataDxfId="216"/>
    <tableColumn id="2" xr3:uid="{2F724AF2-195E-4951-9861-71C43DCC3B78}" name="الرابط" dataDxfId="215" dataCellStyle="Hyperlin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1187842-C113-49A1-A678-267758857FF3}" name="البطات_دامبل" displayName="البطات_دامبل" ref="B303:C308" totalsRowShown="0" headerRowDxfId="214" headerRowBorderDxfId="213" tableBorderDxfId="212" totalsRowBorderDxfId="211" headerRowCellStyle="Normal 2">
  <autoFilter ref="B303:C308" xr:uid="{C2FA99F9-1D78-4045-A033-64449504CA2E}"/>
  <tableColumns count="2">
    <tableColumn id="1" xr3:uid="{4E34F1DC-EAA2-405D-AFE9-E76A70BF8B85}" name="التمرين"/>
    <tableColumn id="2" xr3:uid="{6A793468-72DB-48E6-9AEA-9613A50E5B66}" name="الرابط"/>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2C88E8-D874-4C23-BBAA-C2CAA70AE642}" name="أرداف_دامبل" displayName="أرداف_دامبل" ref="B310:C320" totalsRowShown="0" headerRowDxfId="210" headerRowBorderDxfId="209" tableBorderDxfId="208" totalsRowBorderDxfId="207" headerRowCellStyle="Normal 2">
  <autoFilter ref="B310:C320" xr:uid="{D684B0A1-DB90-4360-BC80-A659F15DABBA}"/>
  <tableColumns count="2">
    <tableColumn id="1" xr3:uid="{4062C7FF-C96F-4BB3-ADBC-9169B3F72DDD}" name="التمرين" dataDxfId="206" dataCellStyle="Normal 2"/>
    <tableColumn id="2" xr3:uid="{6CD513E0-0428-4816-A548-215148DA0522}" name="الرابط" dataDxfId="205" dataCellStyle="Hyperlink 2"/>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8115FA-68DA-4FEC-91E1-CBB370D835F7}" name="رجل_خلفي_دامبل" displayName="رجل_خلفي_دامبل" ref="B322:C324" totalsRowShown="0" headerRowDxfId="204" headerRowBorderDxfId="203" tableBorderDxfId="202" totalsRowBorderDxfId="201" headerRowCellStyle="Normal 2">
  <autoFilter ref="B322:C324" xr:uid="{D221D125-0389-4188-B155-9843F70909AB}"/>
  <tableColumns count="2">
    <tableColumn id="1" xr3:uid="{A62368B5-4B74-4290-A133-F0E524EB0341}" name="التمرين"/>
    <tableColumn id="2" xr3:uid="{41EB4F8F-9476-4151-8F20-3B9F64026C52}" name="الرابط"/>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06BB934-AF35-4339-B77E-5D682D3C5725}" name="أكتاف_جانبي_دامبل" displayName="أكتاف_جانبي_دامبل" ref="B326:C330" totalsRowShown="0" headerRowDxfId="200" headerRowBorderDxfId="199" tableBorderDxfId="198" totalsRowBorderDxfId="197" headerRowCellStyle="Normal 2">
  <autoFilter ref="B326:C330" xr:uid="{E2F7D494-FCC6-47C9-AD3F-C7BC98B6D772}"/>
  <tableColumns count="2">
    <tableColumn id="1" xr3:uid="{B1A2B46A-31BC-4AC8-8BD0-A755692ADDFF}" name="التمرين"/>
    <tableColumn id="2" xr3:uid="{07A0DF90-1D86-4965-ACAC-C04DB607AAAF}" name="الرابط"/>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72570F6-539F-4E9C-B61E-1FFC13D45C79}" name="ترايسيبس_دامبل" displayName="ترايسيبس_دامبل" ref="B332:C342" totalsRowShown="0" headerRowDxfId="196" headerRowBorderDxfId="195" tableBorderDxfId="194" totalsRowBorderDxfId="193" headerRowCellStyle="Normal 2">
  <autoFilter ref="B332:C342" xr:uid="{CA287783-73C7-4F7E-9046-26AC8F3F71E9}"/>
  <tableColumns count="2">
    <tableColumn id="1" xr3:uid="{438F707E-364E-49A6-8BD3-A3FE15004BFC}" name="التمرين" dataDxfId="192" dataCellStyle="Normal 2"/>
    <tableColumn id="2" xr3:uid="{5E82FDFC-DD96-4EF8-9DEC-192905725D1A}" name="الرابط" dataDxfId="191" dataCellStyle="Hyperlink 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623396E-F0B1-478A-9B78-4DFFB5F99806}" name="أكتاف_أمامي_دامبل" displayName="أكتاف_أمامي_دامبل" ref="B344:C348" totalsRowShown="0" headerRowDxfId="190" headerRowBorderDxfId="189" tableBorderDxfId="188" totalsRowBorderDxfId="187" headerRowCellStyle="Normal 2">
  <autoFilter ref="B344:C348" xr:uid="{0277E5AE-733B-4D81-A738-1B121C453459}"/>
  <tableColumns count="2">
    <tableColumn id="1" xr3:uid="{C05483B6-72E5-4786-8790-E6DF3F019798}" name="التمرين"/>
    <tableColumn id="2" xr3:uid="{DD9DCA51-4C28-4CAA-99E9-C5542543551A}" name="الرابط"/>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237C6B0-CB55-4217-87E8-E089BABA44AD}" name="أكتاف_خلفي_دامبل" displayName="أكتاف_خلفي_دامبل" ref="B350:C353" totalsRowShown="0" headerRowDxfId="186" headerRowBorderDxfId="185" tableBorderDxfId="184" totalsRowBorderDxfId="183" headerRowCellStyle="Normal 2">
  <autoFilter ref="B350:C353" xr:uid="{5FDD06C8-D870-4FE8-8B3D-FA890BF9C304}"/>
  <tableColumns count="2">
    <tableColumn id="1" xr3:uid="{BAE46D33-2430-4A76-92CF-EA618C240D8D}" name="التمرين"/>
    <tableColumn id="2" xr3:uid="{41728D76-C462-4B69-8C91-9DC4AA7AF176}" name="الرابط"/>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7658070E-9370-40CA-B385-FD8C55585C8A}" name="بايسيبس_دامبل" displayName="بايسيبس_دامبل" ref="B355:C362" totalsRowShown="0" headerRowDxfId="182" headerRowBorderDxfId="181" tableBorderDxfId="180" totalsRowBorderDxfId="179" headerRowCellStyle="Normal 2">
  <autoFilter ref="B355:C362" xr:uid="{09365649-C763-4B52-92A1-783DBF2A4176}"/>
  <tableColumns count="2">
    <tableColumn id="1" xr3:uid="{09EF71C7-9E96-45BB-B290-F486A12E38DB}" name="التمرين" dataDxfId="178" dataCellStyle="Normal 2"/>
    <tableColumn id="2" xr3:uid="{1677C622-4B9F-4521-9E5F-20193B5B410B}" name="الرابط" dataDxfId="177" dataCellStyle="Hyperlink 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C0969F4-DA1A-432F-9472-1EA032A11446}" name="بطن_منزلي" displayName="بطن_منزلي" ref="B364:C378" totalsRowShown="0" headerRowDxfId="176" headerRowBorderDxfId="175" tableBorderDxfId="174" totalsRowBorderDxfId="173" headerRowCellStyle="Normal 2">
  <autoFilter ref="B364:C378" xr:uid="{87167C0D-F958-4845-9A4A-BDD1FE2BF205}"/>
  <tableColumns count="2">
    <tableColumn id="1" xr3:uid="{CA5CE9E7-02EA-4EFA-B644-AE1D48BF860D}" name="التمرين" dataDxfId="172" dataCellStyle="Normal 2"/>
    <tableColumn id="2" xr3:uid="{DB1842F2-49D8-4082-ADAE-1EF2372FF551}" name="الرابط" dataDxfId="171" dataCellStyle="Hyperlink 2"/>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6B4381C-0805-4FFC-966F-730C81DB56C7}" name="سكوات_دامبل" displayName="سكوات_دامبل" ref="B380:C388" totalsRowShown="0" headerRowDxfId="170" headerRowBorderDxfId="169" tableBorderDxfId="168" totalsRowBorderDxfId="167" headerRowCellStyle="Normal 2">
  <autoFilter ref="B380:C388" xr:uid="{5A4EACB2-5A40-48EA-88D5-2BC2B6E6EDD8}"/>
  <tableColumns count="2">
    <tableColumn id="1" xr3:uid="{B2F4AADF-8753-4A0A-ABC1-467936EF8B02}" name="التمرين" dataDxfId="166" dataCellStyle="Normal 2"/>
    <tableColumn id="2" xr3:uid="{04B50FB4-AFB6-4A1C-A53E-060D7A0F1C82}" name="الرابط" dataDxfId="165" dataCellStyle="Hyperlink 2"/>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8A762F6-30C0-4120-A646-0B10A89CDA77}" name="سواعد_دامبل" displayName="سواعد_دامبل" ref="B390:C393" totalsRowShown="0" headerRowDxfId="164" headerRowBorderDxfId="163" tableBorderDxfId="162" totalsRowBorderDxfId="161" headerRowCellStyle="Normal 2">
  <autoFilter ref="B390:C393" xr:uid="{475EE4DE-9092-4D23-967F-93D45E4F1A4F}"/>
  <tableColumns count="2">
    <tableColumn id="1" xr3:uid="{F294E23B-6083-47A8-8CFF-B53D6DF2E8F9}" name="التمرين"/>
    <tableColumn id="2" xr3:uid="{CE0B5809-E29A-47DF-8768-4405634AA8AB}" name="الرابط"/>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6F969DF-2014-4E31-B6F2-1037FA3B50DB}" name="صدر_عزل_دامبل" displayName="صدر_عزل_دامبل" ref="B395:C397" totalsRowShown="0" headerRowDxfId="160" headerRowBorderDxfId="159" tableBorderDxfId="158" totalsRowBorderDxfId="157" headerRowCellStyle="Normal 2">
  <autoFilter ref="B395:C397" xr:uid="{5AD85012-C61E-4685-BB79-DB7BD91268F2}"/>
  <tableColumns count="2">
    <tableColumn id="1" xr3:uid="{E04F1FF1-DE21-4D4C-9C6F-4CAC40EB537D}" name="التمرين" dataDxfId="156" dataCellStyle="Normal 2"/>
    <tableColumn id="2" xr3:uid="{6A9FDA4F-AE53-4AC4-AD4E-A5135562B711}" name="الرابط"/>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14F3A32-233B-4B8D-9378-B476E7745BA0}" name="صدر_مركب_دامبل" displayName="صدر_مركب_دامبل" ref="B399:C407" totalsRowShown="0" headerRowDxfId="155" headerRowBorderDxfId="154" tableBorderDxfId="153" totalsRowBorderDxfId="152" headerRowCellStyle="Normal 2">
  <autoFilter ref="B399:C407" xr:uid="{F0D3FD67-73DC-4C31-B174-A969B513797E}"/>
  <tableColumns count="2">
    <tableColumn id="1" xr3:uid="{6833EED5-893F-470C-B916-ECEC078BA039}" name="التمرين" dataDxfId="151" dataCellStyle="Normal 2"/>
    <tableColumn id="2" xr3:uid="{FD046930-7730-4962-B066-69EEBD52E3CC}" name="الرابط" dataDxfId="150" dataCellStyle="Hyperlink 2"/>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3F4B789-0D17-4AA9-A00B-425B419AA841}" name="ظهر_دامبل" displayName="ظهر_دامبل" ref="B409:C417" totalsRowShown="0" headerRowDxfId="149" headerRowBorderDxfId="148" tableBorderDxfId="147" totalsRowBorderDxfId="146" headerRowCellStyle="Normal 2">
  <autoFilter ref="B409:C417" xr:uid="{E29A6770-9540-49E8-88FB-FB59CCC93788}"/>
  <tableColumns count="2">
    <tableColumn id="1" xr3:uid="{DCDBAD78-14F4-4009-8347-465038CC85DB}" name="التمرين" dataDxfId="145" dataCellStyle="Normal 2"/>
    <tableColumn id="2" xr3:uid="{E1ABD5B9-772A-4A90-83A3-F38FD83D8D6A}" name="الرابط" dataDxfId="144" dataCellStyle="Hyperlink 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ED556567-75B8-4823-B996-B7CAF015011F}" name="مثلثات_حبال" displayName="مثلثات_حبال" ref="B420:C423" totalsRowShown="0" headerRowDxfId="143" headerRowBorderDxfId="142" tableBorderDxfId="141" totalsRowBorderDxfId="140" headerRowCellStyle="Normal 2">
  <autoFilter ref="B420:C423" xr:uid="{F0211C7A-3662-4B2B-AD33-C0100E831F93}"/>
  <tableColumns count="2">
    <tableColumn id="1" xr3:uid="{FF330730-D4E2-4D26-A6D7-DF8072E7CCB4}" name="التمرين"/>
    <tableColumn id="2" xr3:uid="{6071A6FE-34A0-43DC-BEDC-C1D29418AA01}" name="الرابط"/>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C89D14C1-34E5-49E1-AB9D-BFE7B038C815}" name="Table59" displayName="Table59" ref="B425:C428" totalsRowShown="0" headerRowDxfId="139" headerRowBorderDxfId="138" tableBorderDxfId="137" totalsRowBorderDxfId="136" headerRowCellStyle="Normal 2">
  <autoFilter ref="B425:C428" xr:uid="{3977EB0C-23AF-4F7E-836E-F72C4344005A}"/>
  <tableColumns count="2">
    <tableColumn id="1" xr3:uid="{022E818A-DE6B-4AA0-9A5C-DE92AA4DAC05}" name="التمرين"/>
    <tableColumn id="2" xr3:uid="{83D5B949-F83A-433E-BD8B-0F4F98AC7CB1}" name="الرابط"/>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F6F5B56C-B889-4888-BCBF-E477C29201F7}" name="أرداف_حبال" displayName="أرداف_حبال" ref="B430:C445" totalsRowShown="0" headerRowDxfId="135" headerRowBorderDxfId="134" tableBorderDxfId="133" totalsRowBorderDxfId="132" headerRowCellStyle="Normal 2">
  <autoFilter ref="B430:C445" xr:uid="{65B2D8DF-EB5B-44C7-BB2D-B29486E82548}"/>
  <tableColumns count="2">
    <tableColumn id="1" xr3:uid="{3320690D-7D9E-4423-A1F2-217F3C8540B0}" name="التمرين" dataDxfId="131" dataCellStyle="Normal 2"/>
    <tableColumn id="2" xr3:uid="{6B3D380B-65EF-4144-9279-07BF668C2AA8}" name="الرابط" dataDxfId="130" dataCellStyle="Hyperlink 2"/>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46A3E50-0E75-421E-96B5-50A04F237278}" name="رجل_خلفي_حبال" displayName="رجل_خلفي_حبال" ref="B447:C455" totalsRowShown="0" headerRowDxfId="129" headerRowBorderDxfId="128" tableBorderDxfId="127" totalsRowBorderDxfId="126" headerRowCellStyle="Normal 2">
  <autoFilter ref="B447:C455" xr:uid="{55ABAC6F-C8D8-4FAE-A885-E127E09EFD67}"/>
  <tableColumns count="2">
    <tableColumn id="1" xr3:uid="{0F9AD169-BE2D-48B3-A77A-903343EDBC79}" name="التمرين"/>
    <tableColumn id="2" xr3:uid="{989E6709-C71A-49D7-AFA9-156806097A3F}" name="الرابط" dataDxfId="125" dataCellStyle="Hyperlink 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F1A9093-6119-4656-ABB6-7AAC5E162E29}" name="أكتاف_جانبي_حبال" displayName="أكتاف_جانبي_حبال" ref="B457:C462" totalsRowShown="0" headerRowDxfId="124" headerRowBorderDxfId="123" tableBorderDxfId="122" totalsRowBorderDxfId="121" headerRowCellStyle="Normal 2">
  <autoFilter ref="B457:C462" xr:uid="{CC6AACC4-2DCB-4BC0-888F-4BA7DA29A294}"/>
  <tableColumns count="2">
    <tableColumn id="1" xr3:uid="{3DDEACF0-20B0-4C3E-BB9D-21AE8A15CA83}" name="التمرين" dataDxfId="120" dataCellStyle="Normal 2"/>
    <tableColumn id="2" xr3:uid="{F0CA70D4-1265-4089-BAB5-9BEE58BFA7A3}" name="الرابط" dataDxfId="119" dataCellStyle="Hyperlink 2"/>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3915E7FA-B183-48C6-A5DE-84927194BAE9}" name="ترايسيبس_حبال" displayName="ترايسيبس_حبال" ref="B464:C478" totalsRowShown="0" headerRowDxfId="118" headerRowBorderDxfId="117" tableBorderDxfId="116" totalsRowBorderDxfId="115" headerRowCellStyle="Normal 2">
  <autoFilter ref="B464:C478" xr:uid="{7D53941F-AAAB-4024-892B-884AC21B7D6C}"/>
  <tableColumns count="2">
    <tableColumn id="1" xr3:uid="{8477830A-D44E-460F-BA3D-FDA9802F6427}" name="التمرين" dataDxfId="114" dataCellStyle="Normal 2"/>
    <tableColumn id="2" xr3:uid="{CF1DE223-E56B-4269-B255-9AC97E076EEE}" name="الرابط" dataDxfId="113" dataCellStyle="Hyperlink 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521E5CD-2F85-434E-A17E-8043D9726833}" name="أكتاف_أمامي_حبال" displayName="أكتاف_أمامي_حبال" ref="B480:C489" totalsRowShown="0" headerRowDxfId="112" headerRowBorderDxfId="111" tableBorderDxfId="110" totalsRowBorderDxfId="109" headerRowCellStyle="Normal 2">
  <autoFilter ref="B480:C489" xr:uid="{4590F573-5B96-4A53-AF21-B27D9824E5F3}"/>
  <tableColumns count="2">
    <tableColumn id="1" xr3:uid="{CEC1E057-BF10-4A50-8B8D-813FD36B64F9}" name="التمرين" dataDxfId="108" dataCellStyle="Normal 2"/>
    <tableColumn id="2" xr3:uid="{42B88417-0ACD-4F9E-854A-F14E1B86E43B}" name="الرابط" dataDxfId="107" dataCellStyle="Hyperlink 2"/>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FAF5F23-F36C-4758-A5C7-404E001E9E89}" name="أكتاف_خلفي_حبال" displayName="أكتاف_خلفي_حبال" ref="B491:C495" totalsRowShown="0" headerRowDxfId="106" headerRowBorderDxfId="105" tableBorderDxfId="104" totalsRowBorderDxfId="103" headerRowCellStyle="Normal 2">
  <autoFilter ref="B491:C495" xr:uid="{916F2E7B-DCB8-4DFC-B20B-67D6AEC5ABE1}"/>
  <tableColumns count="2">
    <tableColumn id="1" xr3:uid="{79670D25-7EA8-4C42-82B0-8FEF482D8E0A}" name="التمرين"/>
    <tableColumn id="2" xr3:uid="{ED4A3B0B-3C14-48BF-A993-D2B663D82F53}" name="الرابط"/>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721ED9FB-2F59-46A1-8F5E-1BD8BD2CD707}" name="بايسيبس_حبال" displayName="بايسيبس_حبال" ref="B497:C504" totalsRowShown="0" headerRowDxfId="102" headerRowBorderDxfId="101" tableBorderDxfId="100" totalsRowBorderDxfId="99" headerRowCellStyle="Normal 2">
  <autoFilter ref="B497:C504" xr:uid="{F5D7788A-E48E-4D2C-B8A9-0FB37C71A44E}"/>
  <tableColumns count="2">
    <tableColumn id="1" xr3:uid="{5C286B45-FD9B-493F-BB24-E82E5CA58D53}" name="التمرين" dataDxfId="98" dataCellStyle="Normal 2"/>
    <tableColumn id="2" xr3:uid="{5724107F-CA09-406D-994C-9BB41E4EF6B0}" name="الرابط" dataDxfId="97" dataCellStyle="Hyperlink 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480152C2-60D4-4E06-AB4E-263B72BB1C4B}" name="بطن_حبال" displayName="بطن_حبال" ref="B506:C519" totalsRowShown="0" headerRowDxfId="96" headerRowBorderDxfId="95" tableBorderDxfId="94" totalsRowBorderDxfId="93" headerRowCellStyle="Normal 2">
  <autoFilter ref="B506:C519" xr:uid="{06425D05-D124-4EA8-9BF4-6853715F1C8D}"/>
  <tableColumns count="2">
    <tableColumn id="1" xr3:uid="{9C0DA801-4262-40F5-BDE9-0050C6FF3CA5}" name="التمرين" dataDxfId="92" dataCellStyle="Normal 2"/>
    <tableColumn id="2" xr3:uid="{687D4FD9-AAAD-4425-BF9A-CA8CC3DF2403}" name="الرابط" dataDxfId="91" dataCellStyle="Hyperlink 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54D826C8-CCA4-4676-847E-A2E68EC2226C}" name="سكوات_حبال" displayName="سكوات_حبال" ref="B521:C529" totalsRowShown="0" headerRowDxfId="90" headerRowBorderDxfId="89" tableBorderDxfId="88" totalsRowBorderDxfId="87" headerRowCellStyle="Normal 2">
  <autoFilter ref="B521:C529" xr:uid="{7E8CCC4C-8CF7-42B6-9FCE-680404B22B90}"/>
  <tableColumns count="2">
    <tableColumn id="1" xr3:uid="{E2646C9D-8AA0-463D-B6E5-C9FD3644311C}" name="التمرين"/>
    <tableColumn id="2" xr3:uid="{69ECBE83-864D-4300-A524-299955DFF572}" name="الرابط"/>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118F2F15-5AB2-4BE9-98CD-840CCB8E21A1}" name="سواعد_حبال" displayName="سواعد_حبال" ref="B531:C536" totalsRowShown="0" headerRowDxfId="86" headerRowBorderDxfId="85" tableBorderDxfId="84" totalsRowBorderDxfId="83" headerRowCellStyle="Normal 2">
  <autoFilter ref="B531:C536" xr:uid="{80510ED9-26A2-439F-BC25-2A23B64B56B4}"/>
  <tableColumns count="2">
    <tableColumn id="1" xr3:uid="{D6E415BC-C26A-4AF9-8FAF-5B3D4F1CEEA1}" name="التمرين"/>
    <tableColumn id="2" xr3:uid="{11BDAE63-2D9C-49A3-8C73-686AAE4D19A9}" name="الرابط"/>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86DCA55C-FE12-4610-94A8-46EF06D345BE}" name="صدر_عزل_حبال" displayName="صدر_عزل_حبال" ref="B538:C545" totalsRowShown="0" headerRowDxfId="82" headerRowBorderDxfId="81" tableBorderDxfId="80" totalsRowBorderDxfId="79" headerRowCellStyle="Normal 2">
  <autoFilter ref="B538:C545" xr:uid="{3ADE0F3D-154F-423B-B8B8-0CB1CEC7B71A}"/>
  <tableColumns count="2">
    <tableColumn id="1" xr3:uid="{CC92E3B2-1649-4318-A18A-41F02DA02ED3}" name="التمرين" dataDxfId="78" dataCellStyle="Normal 2"/>
    <tableColumn id="2" xr3:uid="{2A88A2EC-14CD-454F-8058-E26B63F5F8DA}" name="الرابط" dataDxfId="77" dataCellStyle="Hyperlink 2"/>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4C383A81-84BC-49BA-BD72-944781B78B39}" name="صدر_مركب_حبال" displayName="صدر_مركب_حبال" ref="B547:C561" totalsRowShown="0" headerRowDxfId="76" headerRowBorderDxfId="75" tableBorderDxfId="74" totalsRowBorderDxfId="73" headerRowCellStyle="Normal 2">
  <autoFilter ref="B547:C561" xr:uid="{3B0E24A1-F0CF-41CD-9777-18205CDAD23C}"/>
  <tableColumns count="2">
    <tableColumn id="1" xr3:uid="{5559FB7A-DE94-43CD-99FD-4B70604428B6}" name="التمرين"/>
    <tableColumn id="2" xr3:uid="{898B557F-7BE6-4604-81A2-840099FC90E9}" name="الرابط"/>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30A516B-E36D-4C14-B3B5-4A420DA699F3}" name="سحب_رأسي_حبال" displayName="سحب_رأسي_حبال" ref="B563:C570" totalsRowShown="0" headerRowDxfId="72" headerRowBorderDxfId="71" tableBorderDxfId="70" totalsRowBorderDxfId="69" headerRowCellStyle="Normal 2">
  <autoFilter ref="B563:C570" xr:uid="{528938CE-6EC7-4DC3-84B2-7D202456E51C}"/>
  <tableColumns count="2">
    <tableColumn id="1" xr3:uid="{E6D22FA7-BBE2-4EB1-BBA4-3DAA9D4EF038}" name="التمرين" dataDxfId="68" dataCellStyle="Normal 2"/>
    <tableColumn id="2" xr3:uid="{3CDFD556-BCBC-4933-93D8-24F2DAF7D720}" name="الرابط" dataDxfId="67" dataCellStyle="Hyperlink 2"/>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9F1DEC0B-787E-4E27-8524-EC9EE1787049}" name="سحب_أفقي_حبال" displayName="سحب_أفقي_حبال" ref="B572:C579" totalsRowShown="0" headerRowDxfId="66" headerRowBorderDxfId="65" tableBorderDxfId="64" totalsRowBorderDxfId="63" headerRowCellStyle="Normal 2">
  <autoFilter ref="B572:C579" xr:uid="{B977C7DF-B99F-408C-8739-4D822349C9F1}"/>
  <tableColumns count="2">
    <tableColumn id="1" xr3:uid="{E0807962-E72F-4993-993C-053BF24B5A17}" name="التمرين" dataDxfId="62" dataCellStyle="Normal 2"/>
    <tableColumn id="2" xr3:uid="{BD670241-602C-4A8D-B082-D589549AA3FD}" name="الرابط" dataDxfId="61" dataCellStyle="Hyperlink 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www.youtube.com/watch?v=Ja6ZlIDONac&amp;list=PLyqKj7LwU2Rt1cwOsHwdXa2TiRzjA6uoB&amp;index=15" TargetMode="External"/><Relationship Id="rId671" Type="http://schemas.openxmlformats.org/officeDocument/2006/relationships/hyperlink" Target="https://youtu.be/gmNlqsE3Onc" TargetMode="External"/><Relationship Id="rId21" Type="http://schemas.openxmlformats.org/officeDocument/2006/relationships/hyperlink" Target="https://www.youtube.com/watch?v=lzDgRRuBdqY&amp;list=PLyqKj7LwU2RtZnGDmtpyhDdvUHFvVyZnA&amp;index=11" TargetMode="External"/><Relationship Id="rId324" Type="http://schemas.openxmlformats.org/officeDocument/2006/relationships/hyperlink" Target="https://www.youtube.com/watch?v=jNihW0WDIL4&amp;list=PLyqKj7LwU2RtZnGDmtpyhDdvUHFvVyZnA&amp;index=12" TargetMode="External"/><Relationship Id="rId531" Type="http://schemas.openxmlformats.org/officeDocument/2006/relationships/hyperlink" Target="https://youtu.be/0U2BFdqBQ58" TargetMode="External"/><Relationship Id="rId629" Type="http://schemas.openxmlformats.org/officeDocument/2006/relationships/hyperlink" Target="https://youtu.be/MrcpvuS738s" TargetMode="External"/><Relationship Id="rId170" Type="http://schemas.openxmlformats.org/officeDocument/2006/relationships/hyperlink" Target="https://www.youtube.com/watch?v=CN_7cz3P-1U&amp;list=PLyqKj7LwU2Rvx_O313dzJNFKPiEqRMWiV&amp;index=9" TargetMode="External"/><Relationship Id="rId268" Type="http://schemas.openxmlformats.org/officeDocument/2006/relationships/hyperlink" Target="https://www.youtube.com/watch?v=JnLFSFurrqQ&amp;list=PLyqKj7LwU2Rt1cwOsHwdXa2TiRzjA6uoB&amp;index=3" TargetMode="External"/><Relationship Id="rId475" Type="http://schemas.openxmlformats.org/officeDocument/2006/relationships/hyperlink" Target="https://youtu.be/dKswaQc7EVY" TargetMode="External"/><Relationship Id="rId682" Type="http://schemas.openxmlformats.org/officeDocument/2006/relationships/hyperlink" Target="https://vimeo.com/518377374" TargetMode="External"/><Relationship Id="rId32" Type="http://schemas.openxmlformats.org/officeDocument/2006/relationships/hyperlink" Target="https://www.youtube.com/watch?v=_gEx2ijsmNM&amp;list=PLyqKj7LwU2RtQyn5wWMJbD0rCV-cSkiK3&amp;index=3" TargetMode="External"/><Relationship Id="rId128" Type="http://schemas.openxmlformats.org/officeDocument/2006/relationships/hyperlink" Target="https://www.youtube.com/watch?v=1u18yJELsh0&amp;list=PLyqKj7LwU2RtMd8vP3NEoig1RPJQK78Ea&amp;index=4" TargetMode="External"/><Relationship Id="rId335" Type="http://schemas.openxmlformats.org/officeDocument/2006/relationships/hyperlink" Target="https://youtu.be/2zhFTw2epoc" TargetMode="External"/><Relationship Id="rId542" Type="http://schemas.openxmlformats.org/officeDocument/2006/relationships/hyperlink" Target="https://vimeo.com/27736922" TargetMode="External"/><Relationship Id="rId181" Type="http://schemas.openxmlformats.org/officeDocument/2006/relationships/hyperlink" Target="https://www.youtube.com/watch?v=lzDgRRuBdqY&amp;list=PLyqKj7LwU2RtZnGDmtpyhDdvUHFvVyZnA&amp;index=11" TargetMode="External"/><Relationship Id="rId402" Type="http://schemas.openxmlformats.org/officeDocument/2006/relationships/hyperlink" Target="https://youtu.be/fQiMiUHWubw" TargetMode="External"/><Relationship Id="rId279" Type="http://schemas.openxmlformats.org/officeDocument/2006/relationships/hyperlink" Target="https://www.youtube.com/watch?v=tRXw8HQ7-oA&amp;list=PLyqKj7LwU2Rt1cwOsHwdXa2TiRzjA6uoB&amp;index=8" TargetMode="External"/><Relationship Id="rId486" Type="http://schemas.openxmlformats.org/officeDocument/2006/relationships/hyperlink" Target="https://youtu.be/WHX478thJHE" TargetMode="External"/><Relationship Id="rId693" Type="http://schemas.openxmlformats.org/officeDocument/2006/relationships/printerSettings" Target="../printerSettings/printerSettings2.bin"/><Relationship Id="rId707" Type="http://schemas.openxmlformats.org/officeDocument/2006/relationships/table" Target="../tables/table14.xml"/><Relationship Id="rId43" Type="http://schemas.openxmlformats.org/officeDocument/2006/relationships/hyperlink" Target="https://www.youtube.com/watch?v=0o07iGKUarI&amp;list=PLyqKj7LwU2RuNVJBl0CtfZdxQ99IhKCcu&amp;index=7" TargetMode="External"/><Relationship Id="rId139" Type="http://schemas.openxmlformats.org/officeDocument/2006/relationships/hyperlink" Target="https://www.youtube.com/watch?v=5z7ZtboxbBY&amp;list=PLyqKj7LwU2RvynkwL93EcfuPUaDrWNOEc&amp;index=7" TargetMode="External"/><Relationship Id="rId346" Type="http://schemas.openxmlformats.org/officeDocument/2006/relationships/hyperlink" Target="https://youtu.be/r30EoMPSNns" TargetMode="External"/><Relationship Id="rId553" Type="http://schemas.openxmlformats.org/officeDocument/2006/relationships/hyperlink" Target="https://youtu.be/dnviBQFAphE" TargetMode="External"/><Relationship Id="rId192" Type="http://schemas.openxmlformats.org/officeDocument/2006/relationships/hyperlink" Target="https://www.youtube.com/watch?v=IuzRCN6eG6Y&amp;list=PLyqKj7LwU2RtjiVutSXk5uC2h7KVMu1Az&amp;index=6" TargetMode="External"/><Relationship Id="rId206" Type="http://schemas.openxmlformats.org/officeDocument/2006/relationships/hyperlink" Target="https://www.youtube.com/watch?v=2OMbdPF7mz4&amp;list=PLyqKj7LwU2RuNVJBl0CtfZdxQ99IhKCcu&amp;index=2" TargetMode="External"/><Relationship Id="rId413" Type="http://schemas.openxmlformats.org/officeDocument/2006/relationships/hyperlink" Target="https://www.youtube.com/watch?v=HzIiNhHhhtA&amp;list=PLyqKj7LwU2RtjiVutSXk5uC2h7KVMu1Az&amp;index=7" TargetMode="External"/><Relationship Id="rId497" Type="http://schemas.openxmlformats.org/officeDocument/2006/relationships/hyperlink" Target="https://youtu.be/MZ7hTLkxwGk" TargetMode="External"/><Relationship Id="rId620" Type="http://schemas.openxmlformats.org/officeDocument/2006/relationships/hyperlink" Target="https://youtu.be/7xHND8-Mrus" TargetMode="External"/><Relationship Id="rId718" Type="http://schemas.openxmlformats.org/officeDocument/2006/relationships/table" Target="../tables/table25.xml"/><Relationship Id="rId357" Type="http://schemas.openxmlformats.org/officeDocument/2006/relationships/hyperlink" Target="https://www.youtube.com/watch?v=jNihW0WDIL4&amp;list=PLyqKj7LwU2RtZnGDmtpyhDdvUHFvVyZnA&amp;index=12" TargetMode="External"/><Relationship Id="rId54" Type="http://schemas.openxmlformats.org/officeDocument/2006/relationships/hyperlink" Target="https://www.youtube.com/watch?v=5CECBjd7HLQ&amp;list=PLyqKj7LwU2RuyZwWCIiDHuFZGN11QW3Ff&amp;index=13" TargetMode="External"/><Relationship Id="rId217" Type="http://schemas.openxmlformats.org/officeDocument/2006/relationships/hyperlink" Target="https://www.youtube.com/watch?v=qz1OLup4W_M&amp;list=PLyqKj7LwU2Rv-tzrJev2STMTIGt_JeugT&amp;index=4" TargetMode="External"/><Relationship Id="rId564" Type="http://schemas.openxmlformats.org/officeDocument/2006/relationships/hyperlink" Target="https://youtu.be/bU6rYBZG42E" TargetMode="External"/><Relationship Id="rId424" Type="http://schemas.openxmlformats.org/officeDocument/2006/relationships/hyperlink" Target="https://www.youtube.com/watch?v=BIOM5eSsJ_8&amp;list=PLyqKj7LwU2RvTgEW_QlCCjtIL5d_KP_-I&amp;index=8" TargetMode="External"/><Relationship Id="rId631" Type="http://schemas.openxmlformats.org/officeDocument/2006/relationships/hyperlink" Target="https://youtu.be/YCL7vtpeTI4" TargetMode="External"/><Relationship Id="rId729" Type="http://schemas.openxmlformats.org/officeDocument/2006/relationships/table" Target="../tables/table36.xml"/><Relationship Id="rId270" Type="http://schemas.openxmlformats.org/officeDocument/2006/relationships/hyperlink" Target="https://www.youtube.com/watch?v=opFVuRi_3b8&amp;list=PLyqKj7LwU2Rt1cwOsHwdXa2TiRzjA6uoB&amp;index=5" TargetMode="External"/><Relationship Id="rId65" Type="http://schemas.openxmlformats.org/officeDocument/2006/relationships/hyperlink" Target="https://www.youtube.com/watch?v=gMgvBspQ9lk&amp;list=PLyqKj7LwU2RuyZwWCIiDHuFZGN11QW3Ff&amp;index=22" TargetMode="External"/><Relationship Id="rId130" Type="http://schemas.openxmlformats.org/officeDocument/2006/relationships/hyperlink" Target="https://www.youtube.com/watch?v=1lrjpLuXH4w&amp;list=PLyqKj7LwU2RtMd8vP3NEoig1RPJQK78Ea&amp;index=10" TargetMode="External"/><Relationship Id="rId368" Type="http://schemas.openxmlformats.org/officeDocument/2006/relationships/hyperlink" Target="https://www.youtube.com/watch?v=34gVHrkaiz0&amp;list=PLyqKj7LwU2Rv-tzrJev2STMTIGt_JeugT&amp;index=1" TargetMode="External"/><Relationship Id="rId575" Type="http://schemas.openxmlformats.org/officeDocument/2006/relationships/hyperlink" Target="https://youtu.be/Khgyyrd_ig0" TargetMode="External"/><Relationship Id="rId228" Type="http://schemas.openxmlformats.org/officeDocument/2006/relationships/hyperlink" Target="https://www.youtube.com/watch?v=mm6_WcoCVTA&amp;list=PLyqKj7LwU2RuyZwWCIiDHuFZGN11QW3Ff&amp;index=26" TargetMode="External"/><Relationship Id="rId435" Type="http://schemas.openxmlformats.org/officeDocument/2006/relationships/hyperlink" Target="https://www.youtube.com/watch?v=YQ2s_Y7g5Qk&amp;list=PLyqKj7LwU2RuyZwWCIiDHuFZGN11QW3Ff&amp;index=6" TargetMode="External"/><Relationship Id="rId642" Type="http://schemas.openxmlformats.org/officeDocument/2006/relationships/hyperlink" Target="https://youtu.be/a2dNtC17WRU" TargetMode="External"/><Relationship Id="rId281" Type="http://schemas.openxmlformats.org/officeDocument/2006/relationships/hyperlink" Target="https://www.youtube.com/watch?v=WG3vdcq__I0&amp;list=PLyqKj7LwU2Rt1cwOsHwdXa2TiRzjA6uoB&amp;index=12" TargetMode="External"/><Relationship Id="rId502" Type="http://schemas.openxmlformats.org/officeDocument/2006/relationships/hyperlink" Target="https://youtu.be/Wq-Td9UXRK8" TargetMode="External"/><Relationship Id="rId76" Type="http://schemas.openxmlformats.org/officeDocument/2006/relationships/hyperlink" Target="https://www.youtube.com/watch?v=8ygapPMYK1I&amp;list=PLyqKj7LwU2RsCtKw3UlE85HYgPM3-xoO1&amp;index=1" TargetMode="External"/><Relationship Id="rId141" Type="http://schemas.openxmlformats.org/officeDocument/2006/relationships/hyperlink" Target="https://www.youtube.com/watch?v=zgToz5FiI-E&amp;list=PLyqKj7LwU2RvynkwL93EcfuPUaDrWNOEc&amp;index=10" TargetMode="External"/><Relationship Id="rId379" Type="http://schemas.openxmlformats.org/officeDocument/2006/relationships/hyperlink" Target="https://youtu.be/a2dNtC17WRU" TargetMode="External"/><Relationship Id="rId586" Type="http://schemas.openxmlformats.org/officeDocument/2006/relationships/hyperlink" Target="https://youtu.be/8bbE64NuDTU" TargetMode="External"/><Relationship Id="rId7" Type="http://schemas.openxmlformats.org/officeDocument/2006/relationships/hyperlink" Target="https://www.youtube.com/watch?v=Orxowest56U&amp;list=PLyqKj7LwU2Rvx_O313dzJNFKPiEqRMWiV&amp;index=7" TargetMode="External"/><Relationship Id="rId239" Type="http://schemas.openxmlformats.org/officeDocument/2006/relationships/hyperlink" Target="https://www.youtube.com/watch?v=9JC1EwqezGY&amp;list=PLyqKj7LwU2RsCtKw3UlE85HYgPM3-xoO1&amp;index=32" TargetMode="External"/><Relationship Id="rId446" Type="http://schemas.openxmlformats.org/officeDocument/2006/relationships/hyperlink" Target="https://youtu.be/DnTRsL2UHCU" TargetMode="External"/><Relationship Id="rId653" Type="http://schemas.openxmlformats.org/officeDocument/2006/relationships/hyperlink" Target="https://youtu.be/lplTnpym5jg" TargetMode="External"/><Relationship Id="rId292" Type="http://schemas.openxmlformats.org/officeDocument/2006/relationships/hyperlink" Target="https://www.youtube.com/watch?v=jPjhQ2hsAds&amp;list=PLyqKj7LwU2RtMd8vP3NEoig1RPJQK78Ea&amp;index=8" TargetMode="External"/><Relationship Id="rId306" Type="http://schemas.openxmlformats.org/officeDocument/2006/relationships/hyperlink" Target="https://www.youtube.com/watch?v=zgToz5FiI-E&amp;list=PLyqKj7LwU2RvynkwL93EcfuPUaDrWNOEc&amp;index=10" TargetMode="External"/><Relationship Id="rId87" Type="http://schemas.openxmlformats.org/officeDocument/2006/relationships/hyperlink" Target="https://www.youtube.com/watch?v=EUIri47Epcg&amp;list=PLyqKj7LwU2RsCtKw3UlE85HYgPM3-xoO1&amp;index=16" TargetMode="External"/><Relationship Id="rId513" Type="http://schemas.openxmlformats.org/officeDocument/2006/relationships/hyperlink" Target="https://youtu.be/dGwIGkmy-n0" TargetMode="External"/><Relationship Id="rId597" Type="http://schemas.openxmlformats.org/officeDocument/2006/relationships/hyperlink" Target="https://youtu.be/QqyKKd3dXGk" TargetMode="External"/><Relationship Id="rId720" Type="http://schemas.openxmlformats.org/officeDocument/2006/relationships/table" Target="../tables/table27.xml"/><Relationship Id="rId152" Type="http://schemas.openxmlformats.org/officeDocument/2006/relationships/hyperlink" Target="https://www.youtube.com/watch?v=T_X5rb3G5lk&amp;list=PLyqKj7LwU2RvTgEW_QlCCjtIL5d_KP_-I&amp;index=4" TargetMode="External"/><Relationship Id="rId457" Type="http://schemas.openxmlformats.org/officeDocument/2006/relationships/hyperlink" Target="https://youtu.be/qEJUrVrxlSo" TargetMode="External"/><Relationship Id="rId664" Type="http://schemas.openxmlformats.org/officeDocument/2006/relationships/hyperlink" Target="https://vimeo.com/518376070" TargetMode="External"/><Relationship Id="rId14" Type="http://schemas.openxmlformats.org/officeDocument/2006/relationships/hyperlink" Target="https://www.youtube.com/watch?v=_meXEWq5MOQ&amp;list=PLyqKj7LwU2RtZnGDmtpyhDdvUHFvVyZnA&amp;index=2" TargetMode="External"/><Relationship Id="rId317" Type="http://schemas.openxmlformats.org/officeDocument/2006/relationships/hyperlink" Target="https://www.youtube.com/watch?v=HwB-DevuJjU" TargetMode="External"/><Relationship Id="rId524" Type="http://schemas.openxmlformats.org/officeDocument/2006/relationships/hyperlink" Target="https://vimeo.com/407092494" TargetMode="External"/><Relationship Id="rId731" Type="http://schemas.openxmlformats.org/officeDocument/2006/relationships/table" Target="../tables/table38.xml"/><Relationship Id="rId98" Type="http://schemas.openxmlformats.org/officeDocument/2006/relationships/hyperlink" Target="https://www.youtube.com/watch?v=KOaCM1HMwU0&amp;list=PLyqKj7LwU2RsCtKw3UlE85HYgPM3-xoO1&amp;index=13" TargetMode="External"/><Relationship Id="rId163" Type="http://schemas.openxmlformats.org/officeDocument/2006/relationships/hyperlink" Target="https://www.youtube.com/watch?v=pXg8qppif7I&amp;list=PLyqKj7LwU2RvTgEW_QlCCjtIL5d_KP_-I&amp;index=5" TargetMode="External"/><Relationship Id="rId370" Type="http://schemas.openxmlformats.org/officeDocument/2006/relationships/hyperlink" Target="https://www.youtube.com/watch?v=ke2shAeQ0O8&amp;list=PLyqKj7LwU2Rt1cwOsHwdXa2TiRzjA6uoB&amp;index=7" TargetMode="External"/><Relationship Id="rId230" Type="http://schemas.openxmlformats.org/officeDocument/2006/relationships/hyperlink" Target="https://www.youtube.com/watch?v=gMgvBspQ9lk&amp;list=PLyqKj7LwU2RuyZwWCIiDHuFZGN11QW3Ff&amp;index=22" TargetMode="External"/><Relationship Id="rId468" Type="http://schemas.openxmlformats.org/officeDocument/2006/relationships/hyperlink" Target="https://youtu.be/LtTcXXgeRYo" TargetMode="External"/><Relationship Id="rId675" Type="http://schemas.openxmlformats.org/officeDocument/2006/relationships/hyperlink" Target="https://youtu.be/O7dVvwEK9J4" TargetMode="External"/><Relationship Id="rId25" Type="http://schemas.openxmlformats.org/officeDocument/2006/relationships/hyperlink" Target="https://www.youtube.com/watch?v=pjAewD4LxXs&amp;list=PLyqKj7LwU2RtZnGDmtpyhDdvUHFvVyZnA&amp;index=18" TargetMode="External"/><Relationship Id="rId328" Type="http://schemas.openxmlformats.org/officeDocument/2006/relationships/hyperlink" Target="https://youtu.be/a2dNtC17WRU" TargetMode="External"/><Relationship Id="rId535" Type="http://schemas.openxmlformats.org/officeDocument/2006/relationships/hyperlink" Target="https://vimeo.com/208383097" TargetMode="External"/><Relationship Id="rId742" Type="http://schemas.openxmlformats.org/officeDocument/2006/relationships/table" Target="../tables/table49.xml"/><Relationship Id="rId174" Type="http://schemas.openxmlformats.org/officeDocument/2006/relationships/hyperlink" Target="https://www.youtube.com/watch?v=mnxn-7SO9Ks&amp;list=PLyqKj7LwU2Rvx_O313dzJNFKPiEqRMWiV&amp;index=5" TargetMode="External"/><Relationship Id="rId381" Type="http://schemas.openxmlformats.org/officeDocument/2006/relationships/hyperlink" Target="https://www.youtube.com/watch?v=jNihW0WDIL4&amp;list=PLyqKj7LwU2RtZnGDmtpyhDdvUHFvVyZnA&amp;index=12" TargetMode="External"/><Relationship Id="rId602" Type="http://schemas.openxmlformats.org/officeDocument/2006/relationships/hyperlink" Target="https://youtu.be/WscHYo3_pPs" TargetMode="External"/><Relationship Id="rId241" Type="http://schemas.openxmlformats.org/officeDocument/2006/relationships/hyperlink" Target="https://www.youtube.com/watch?v=8ygapPMYK1I&amp;list=PLyqKj7LwU2RsCtKw3UlE85HYgPM3-xoO1&amp;index=1" TargetMode="External"/><Relationship Id="rId479" Type="http://schemas.openxmlformats.org/officeDocument/2006/relationships/hyperlink" Target="https://youtu.be/dKRaKON0g3E" TargetMode="External"/><Relationship Id="rId686" Type="http://schemas.openxmlformats.org/officeDocument/2006/relationships/hyperlink" Target="https://youtu.be/Tz-eIqfB-1Y" TargetMode="External"/><Relationship Id="rId36" Type="http://schemas.openxmlformats.org/officeDocument/2006/relationships/hyperlink" Target="https://www.youtube.com/watch?v=Ub6QruNKfbY&amp;list=PLyqKj7LwU2RuNVJBl0CtfZdxQ99IhKCcu&amp;index=4" TargetMode="External"/><Relationship Id="rId339" Type="http://schemas.openxmlformats.org/officeDocument/2006/relationships/hyperlink" Target="https://youtu.be/QOCn3_iOAro" TargetMode="External"/><Relationship Id="rId546" Type="http://schemas.openxmlformats.org/officeDocument/2006/relationships/hyperlink" Target="https://vimeo.com/208383117" TargetMode="External"/><Relationship Id="rId101" Type="http://schemas.openxmlformats.org/officeDocument/2006/relationships/hyperlink" Target="https://www.youtube.com/watch?v=yPis7nlbqdY&amp;list=PLyqKj7LwU2RsCtKw3UlE85HYgPM3-xoO1&amp;index=27" TargetMode="External"/><Relationship Id="rId185" Type="http://schemas.openxmlformats.org/officeDocument/2006/relationships/hyperlink" Target="https://www.youtube.com/watch?v=CSXVj047Ss4&amp;list=PLyqKj7LwU2RtZnGDmtpyhDdvUHFvVyZnA&amp;index=19" TargetMode="External"/><Relationship Id="rId406" Type="http://schemas.openxmlformats.org/officeDocument/2006/relationships/hyperlink" Target="https://www.youtube.com/watch?v=CSXVj047Ss4&amp;list=PLyqKj7LwU2RtZnGDmtpyhDdvUHFvVyZnA&amp;index=19" TargetMode="External"/><Relationship Id="rId392" Type="http://schemas.openxmlformats.org/officeDocument/2006/relationships/hyperlink" Target="https://www.youtube.com/watch?v=5PoEksoJNaw&amp;list=PLyqKj7LwU2RsCtKw3UlE85HYgPM3-xoO1&amp;index=22" TargetMode="External"/><Relationship Id="rId613" Type="http://schemas.openxmlformats.org/officeDocument/2006/relationships/hyperlink" Target="https://youtu.be/HaYPm8JE74I" TargetMode="External"/><Relationship Id="rId697" Type="http://schemas.openxmlformats.org/officeDocument/2006/relationships/table" Target="../tables/table4.xml"/><Relationship Id="rId252" Type="http://schemas.openxmlformats.org/officeDocument/2006/relationships/hyperlink" Target="https://www.youtube.com/watch?v=EUIri47Epcg&amp;list=PLyqKj7LwU2RsCtKw3UlE85HYgPM3-xoO1&amp;index=16" TargetMode="External"/><Relationship Id="rId47" Type="http://schemas.openxmlformats.org/officeDocument/2006/relationships/hyperlink" Target="https://www.youtube.com/watch?v=-MODnZdnmAQ&amp;list=PLyqKj7LwU2Rv-tzrJev2STMTIGt_JeugT&amp;index=3" TargetMode="External"/><Relationship Id="rId112" Type="http://schemas.openxmlformats.org/officeDocument/2006/relationships/hyperlink" Target="https://www.youtube.com/watch?v=iixND1P2lik&amp;list=PLyqKj7LwU2Rt1cwOsHwdXa2TiRzjA6uoB&amp;index=1" TargetMode="External"/><Relationship Id="rId557" Type="http://schemas.openxmlformats.org/officeDocument/2006/relationships/hyperlink" Target="https://youtu.be/lJJEkmU_f3c" TargetMode="External"/><Relationship Id="rId196" Type="http://schemas.openxmlformats.org/officeDocument/2006/relationships/hyperlink" Target="https://www.youtube.com/watch?v=OLqZDUUD2b0&amp;list=PLyqKj7LwU2RtjiVutSXk5uC2h7KVMu1Az&amp;index=8" TargetMode="External"/><Relationship Id="rId417" Type="http://schemas.openxmlformats.org/officeDocument/2006/relationships/hyperlink" Target="https://www.youtube.com/watch?v=90cE3rCLtmo&amp;list=PLyqKj7LwU2Rv-tzrJev2STMTIGt_JeugT&amp;index=6" TargetMode="External"/><Relationship Id="rId624" Type="http://schemas.openxmlformats.org/officeDocument/2006/relationships/hyperlink" Target="https://youtu.be/TVTP8Q1T3K8" TargetMode="External"/><Relationship Id="rId263" Type="http://schemas.openxmlformats.org/officeDocument/2006/relationships/hyperlink" Target="https://www.youtube.com/watch?v=KOaCM1HMwU0&amp;list=PLyqKj7LwU2RsCtKw3UlE85HYgPM3-xoO1&amp;index=13" TargetMode="External"/><Relationship Id="rId470" Type="http://schemas.openxmlformats.org/officeDocument/2006/relationships/hyperlink" Target="https://youtu.be/XYs67yyC4GQ" TargetMode="External"/><Relationship Id="rId58" Type="http://schemas.openxmlformats.org/officeDocument/2006/relationships/hyperlink" Target="https://www.youtube.com/watch?v=0Wa9CfRXUkA&amp;list=PLyqKj7LwU2RuyZwWCIiDHuFZGN11QW3Ff&amp;index=10" TargetMode="External"/><Relationship Id="rId123" Type="http://schemas.openxmlformats.org/officeDocument/2006/relationships/hyperlink" Target="https://www.youtube.com/watch?v=4LA1kF7yCGo&amp;list=PLyqKj7LwU2RtMd8vP3NEoig1RPJQK78Ea&amp;index=7" TargetMode="External"/><Relationship Id="rId330" Type="http://schemas.openxmlformats.org/officeDocument/2006/relationships/hyperlink" Target="https://youtu.be/CWOZyf8kaH0" TargetMode="External"/><Relationship Id="rId568" Type="http://schemas.openxmlformats.org/officeDocument/2006/relationships/hyperlink" Target="https://youtu.be/hsHWPGOE4V0" TargetMode="External"/><Relationship Id="rId428" Type="http://schemas.openxmlformats.org/officeDocument/2006/relationships/hyperlink" Target="https://youtu.be/a2dNtC17WRU" TargetMode="External"/><Relationship Id="rId635" Type="http://schemas.openxmlformats.org/officeDocument/2006/relationships/hyperlink" Target="https://youtu.be/vZY3NV-bZqo" TargetMode="External"/><Relationship Id="rId274" Type="http://schemas.openxmlformats.org/officeDocument/2006/relationships/hyperlink" Target="https://www.youtube.com/watch?v=aTYlqC_JacQ&amp;list=PLyqKj7LwU2Rt1cwOsHwdXa2TiRzjA6uoB&amp;index=14" TargetMode="External"/><Relationship Id="rId481" Type="http://schemas.openxmlformats.org/officeDocument/2006/relationships/hyperlink" Target="https://youtu.be/FGcU1ufTxn0" TargetMode="External"/><Relationship Id="rId702" Type="http://schemas.openxmlformats.org/officeDocument/2006/relationships/table" Target="../tables/table9.xml"/><Relationship Id="rId69" Type="http://schemas.openxmlformats.org/officeDocument/2006/relationships/hyperlink" Target="https://www.youtube.com/watch?v=GtHNC-5GtR0" TargetMode="External"/><Relationship Id="rId134" Type="http://schemas.openxmlformats.org/officeDocument/2006/relationships/hyperlink" Target="https://www.youtube.com/watch?v=Tih5iHyELsE&amp;list=PLyqKj7LwU2RtMd8vP3NEoig1RPJQK78Ea&amp;index=16" TargetMode="External"/><Relationship Id="rId579" Type="http://schemas.openxmlformats.org/officeDocument/2006/relationships/hyperlink" Target="https://youtu.be/-c39P9V64tU" TargetMode="External"/><Relationship Id="rId341" Type="http://schemas.openxmlformats.org/officeDocument/2006/relationships/hyperlink" Target="https://www.youtube.com/watch?v=pjAewD4LxXs&amp;list=PLyqKj7LwU2RtZnGDmtpyhDdvUHFvVyZnA&amp;index=18" TargetMode="External"/><Relationship Id="rId439" Type="http://schemas.openxmlformats.org/officeDocument/2006/relationships/hyperlink" Target="https://www.youtube.com/watch?v=9JC1EwqezGY&amp;list=PLyqKj7LwU2RsCtKw3UlE85HYgPM3-xoO1&amp;index=32" TargetMode="External"/><Relationship Id="rId646" Type="http://schemas.openxmlformats.org/officeDocument/2006/relationships/hyperlink" Target="https://youtu.be/CWOZyf8kaH0" TargetMode="External"/><Relationship Id="rId201" Type="http://schemas.openxmlformats.org/officeDocument/2006/relationships/hyperlink" Target="https://www.youtube.com/watch?v=Ub6QruNKfbY&amp;list=PLyqKj7LwU2RuNVJBl0CtfZdxQ99IhKCcu&amp;index=4" TargetMode="External"/><Relationship Id="rId285" Type="http://schemas.openxmlformats.org/officeDocument/2006/relationships/hyperlink" Target="https://www.youtube.com/watch?v=l3rHYPtMUo8&amp;list=PLyqKj7LwU2RtMd8vP3NEoig1RPJQK78Ea&amp;index=3" TargetMode="External"/><Relationship Id="rId506" Type="http://schemas.openxmlformats.org/officeDocument/2006/relationships/hyperlink" Target="https://youtu.be/G8dHuh08aJU" TargetMode="External"/><Relationship Id="rId492" Type="http://schemas.openxmlformats.org/officeDocument/2006/relationships/hyperlink" Target="https://youtu.be/lKaUTcyXER0" TargetMode="External"/><Relationship Id="rId713" Type="http://schemas.openxmlformats.org/officeDocument/2006/relationships/table" Target="../tables/table20.xml"/><Relationship Id="rId145" Type="http://schemas.openxmlformats.org/officeDocument/2006/relationships/hyperlink" Target="https://www.youtube.com/watch?v=nOn_Bz0zrwQ&amp;list=PLyqKj7LwU2RvynkwL93EcfuPUaDrWNOEc&amp;index=3" TargetMode="External"/><Relationship Id="rId352" Type="http://schemas.openxmlformats.org/officeDocument/2006/relationships/hyperlink" Target="https://youtu.be/fQiMiUHWubw" TargetMode="External"/><Relationship Id="rId212" Type="http://schemas.openxmlformats.org/officeDocument/2006/relationships/hyperlink" Target="https://www.youtube.com/watch?v=-MODnZdnmAQ&amp;list=PLyqKj7LwU2Rv-tzrJev2STMTIGt_JeugT&amp;index=3" TargetMode="External"/><Relationship Id="rId657" Type="http://schemas.openxmlformats.org/officeDocument/2006/relationships/hyperlink" Target="https://youtu.be/9_fkz2Yvdd0" TargetMode="External"/><Relationship Id="rId296" Type="http://schemas.openxmlformats.org/officeDocument/2006/relationships/hyperlink" Target="https://www.youtube.com/watch?v=Cp_bShvMY4c&amp;list=PLyqKj7LwU2RtMd8vP3NEoig1RPJQK78Ea&amp;index=5" TargetMode="External"/><Relationship Id="rId517" Type="http://schemas.openxmlformats.org/officeDocument/2006/relationships/hyperlink" Target="https://youtu.be/u8lo0lGPC6k" TargetMode="External"/><Relationship Id="rId724" Type="http://schemas.openxmlformats.org/officeDocument/2006/relationships/table" Target="../tables/table31.xml"/><Relationship Id="rId60" Type="http://schemas.openxmlformats.org/officeDocument/2006/relationships/hyperlink" Target="https://www.youtube.com/watch?v=YQ2s_Y7g5Qk&amp;list=PLyqKj7LwU2RuyZwWCIiDHuFZGN11QW3Ff&amp;index=6" TargetMode="External"/><Relationship Id="rId156" Type="http://schemas.openxmlformats.org/officeDocument/2006/relationships/hyperlink" Target="https://www.youtube.com/watch?v=WVAaKJvToe0&amp;list=PLyqKj7LwU2RvQpfrgpWoyz-Jj2Xog_3Zx&amp;index=1" TargetMode="External"/><Relationship Id="rId363" Type="http://schemas.openxmlformats.org/officeDocument/2006/relationships/hyperlink" Target="https://www.youtube.com/watch?v=Raemd3qWgJc&amp;list=PLyqKj7LwU2RtjiVutSXk5uC2h7KVMu1Az&amp;index=10" TargetMode="External"/><Relationship Id="rId570" Type="http://schemas.openxmlformats.org/officeDocument/2006/relationships/hyperlink" Target="https://youtu.be/DnTRsL2UHCU" TargetMode="External"/><Relationship Id="rId223" Type="http://schemas.openxmlformats.org/officeDocument/2006/relationships/hyperlink" Target="https://www.youtube.com/watch?v=0Wa9CfRXUkA&amp;list=PLyqKj7LwU2RuyZwWCIiDHuFZGN11QW3Ff&amp;index=10" TargetMode="External"/><Relationship Id="rId430" Type="http://schemas.openxmlformats.org/officeDocument/2006/relationships/hyperlink" Target="https://www.youtube.com/watch?v=jNihW0WDIL4&amp;list=PLyqKj7LwU2RtZnGDmtpyhDdvUHFvVyZnA&amp;index=12" TargetMode="External"/><Relationship Id="rId668" Type="http://schemas.openxmlformats.org/officeDocument/2006/relationships/hyperlink" Target="https://vimeo.com/208383171" TargetMode="External"/><Relationship Id="rId18" Type="http://schemas.openxmlformats.org/officeDocument/2006/relationships/hyperlink" Target="https://www.youtube.com/watch?v=EF7jXP17DPE&amp;list=PLyqKj7LwU2RtZnGDmtpyhDdvUHFvVyZnA&amp;index=1" TargetMode="External"/><Relationship Id="rId528" Type="http://schemas.openxmlformats.org/officeDocument/2006/relationships/hyperlink" Target="https://youtu.be/BSLozN2vATI" TargetMode="External"/><Relationship Id="rId735" Type="http://schemas.openxmlformats.org/officeDocument/2006/relationships/table" Target="../tables/table42.xml"/><Relationship Id="rId167" Type="http://schemas.openxmlformats.org/officeDocument/2006/relationships/hyperlink" Target="https://www.youtube.com/watch?v=7FwGZ8qY5OU&amp;list=PLyqKj7LwU2RvTgEW_QlCCjtIL5d_KP_-I&amp;index=2" TargetMode="External"/><Relationship Id="rId374" Type="http://schemas.openxmlformats.org/officeDocument/2006/relationships/hyperlink" Target="https://www.youtube.com/watch?v=pXg8qppif7I&amp;list=PLyqKj7LwU2RvTgEW_QlCCjtIL5d_KP_-I&amp;index=5" TargetMode="External"/><Relationship Id="rId581" Type="http://schemas.openxmlformats.org/officeDocument/2006/relationships/hyperlink" Target="https://youtu.be/qEJUrVrxlSo" TargetMode="External"/><Relationship Id="rId71" Type="http://schemas.openxmlformats.org/officeDocument/2006/relationships/hyperlink" Target="https://www.youtube.com/watch?v=e_8HLu59-to&amp;list=PLyqKj7LwU2RuyZwWCIiDHuFZGN11QW3Ff&amp;index=3" TargetMode="External"/><Relationship Id="rId234" Type="http://schemas.openxmlformats.org/officeDocument/2006/relationships/hyperlink" Target="https://www.youtube.com/watch?v=GtHNC-5GtR0" TargetMode="External"/><Relationship Id="rId679" Type="http://schemas.openxmlformats.org/officeDocument/2006/relationships/hyperlink" Target="https://youtu.be/K4VAFznrNLk" TargetMode="External"/><Relationship Id="rId2" Type="http://schemas.openxmlformats.org/officeDocument/2006/relationships/hyperlink" Target="https://www.youtube.com/watch?v=rYgNArpwE7E&amp;list=PLyqKj7LwU2RuAg-us4mzap6izNcc1fuRW&amp;index=4" TargetMode="External"/><Relationship Id="rId29" Type="http://schemas.openxmlformats.org/officeDocument/2006/relationships/hyperlink" Target="https://www.youtube.com/watch?v=__qfDhdByMY&amp;list=PLyqKj7LwU2RtQyn5wWMJbD0rCV-cSkiK3&amp;index=5" TargetMode="External"/><Relationship Id="rId441" Type="http://schemas.openxmlformats.org/officeDocument/2006/relationships/hyperlink" Target="https://www.youtube.com/watch?v=5PoEksoJNaw&amp;list=PLyqKj7LwU2RsCtKw3UlE85HYgPM3-xoO1&amp;index=22" TargetMode="External"/><Relationship Id="rId539" Type="http://schemas.openxmlformats.org/officeDocument/2006/relationships/hyperlink" Target="https://vimeo.com/518376947" TargetMode="External"/><Relationship Id="rId178" Type="http://schemas.openxmlformats.org/officeDocument/2006/relationships/hyperlink" Target="https://www.youtube.com/watch?v=EF7jXP17DPE&amp;list=PLyqKj7LwU2RtZnGDmtpyhDdvUHFvVyZnA&amp;index=1" TargetMode="External"/><Relationship Id="rId301" Type="http://schemas.openxmlformats.org/officeDocument/2006/relationships/hyperlink" Target="https://www.youtube.com/watch?v=M_MjF5Nm_h4&amp;list=PLyqKj7LwU2RvynkwL93EcfuPUaDrWNOEc&amp;index=2" TargetMode="External"/><Relationship Id="rId82" Type="http://schemas.openxmlformats.org/officeDocument/2006/relationships/hyperlink" Target="https://www.youtube.com/watch?v=VprlTxpB1rk&amp;list=PLyqKj7LwU2RsCtKw3UlE85HYgPM3-xoO1&amp;index=29" TargetMode="External"/><Relationship Id="rId385" Type="http://schemas.openxmlformats.org/officeDocument/2006/relationships/hyperlink" Target="https://www.youtube.com/watch?v=gmNlqsE3Onc&amp;list=PLyqKj7LwU2RuyZwWCIiDHuFZGN11QW3Ff&amp;index=5" TargetMode="External"/><Relationship Id="rId592" Type="http://schemas.openxmlformats.org/officeDocument/2006/relationships/hyperlink" Target="https://youtu.be/LtTcXXgeRYo" TargetMode="External"/><Relationship Id="rId606" Type="http://schemas.openxmlformats.org/officeDocument/2006/relationships/hyperlink" Target="https://youtu.be/xZ-L1DJbkho" TargetMode="External"/><Relationship Id="rId245" Type="http://schemas.openxmlformats.org/officeDocument/2006/relationships/hyperlink" Target="https://www.youtube.com/watch?v=gg5hwJuv6KI&amp;list=PLyqKj7LwU2RsCtKw3UlE85HYgPM3-xoO1&amp;index=10" TargetMode="External"/><Relationship Id="rId452" Type="http://schemas.openxmlformats.org/officeDocument/2006/relationships/hyperlink" Target="https://vimeo.com/427683800" TargetMode="External"/><Relationship Id="rId105" Type="http://schemas.openxmlformats.org/officeDocument/2006/relationships/hyperlink" Target="https://www.youtube.com/watch?v=opFVuRi_3b8&amp;list=PLyqKj7LwU2Rt1cwOsHwdXa2TiRzjA6uoB&amp;index=5" TargetMode="External"/><Relationship Id="rId312" Type="http://schemas.openxmlformats.org/officeDocument/2006/relationships/hyperlink" Target="https://www.youtube.com/watch?v=BeIcUXQ3RDc&amp;list=PLyqKj7LwU2RvynkwL93EcfuPUaDrWNOEc&amp;index=6" TargetMode="External"/><Relationship Id="rId93" Type="http://schemas.openxmlformats.org/officeDocument/2006/relationships/hyperlink" Target="https://www.youtube.com/watch?v=UCXxvVItLoM&amp;list=PLyqKj7LwU2RsCtKw3UlE85HYgPM3-xoO1&amp;index=21" TargetMode="External"/><Relationship Id="rId189" Type="http://schemas.openxmlformats.org/officeDocument/2006/relationships/hyperlink" Target="https://www.youtube.com/watch?v=hh5516HCu4k&amp;list=PLyqKj7LwU2RtQyn5wWMJbD0rCV-cSkiK3&amp;index=4" TargetMode="External"/><Relationship Id="rId396" Type="http://schemas.openxmlformats.org/officeDocument/2006/relationships/hyperlink" Target="https://www.youtube.com/watch?v=iWpoegdfgtc&amp;list=PLyqKj7LwU2RsCtKw3UlE85HYgPM3-xoO1&amp;index=17" TargetMode="External"/><Relationship Id="rId617" Type="http://schemas.openxmlformats.org/officeDocument/2006/relationships/hyperlink" Target="https://youtu.be/ITf-9c78wdM" TargetMode="External"/><Relationship Id="rId256" Type="http://schemas.openxmlformats.org/officeDocument/2006/relationships/hyperlink" Target="https://www.youtube.com/watch?v=DMo3HJoawrU&amp;list=PLyqKj7LwU2RsCtKw3UlE85HYgPM3-xoO1&amp;index=23" TargetMode="External"/><Relationship Id="rId463" Type="http://schemas.openxmlformats.org/officeDocument/2006/relationships/hyperlink" Target="https://youtu.be/3NXv0Nany-Q" TargetMode="External"/><Relationship Id="rId670" Type="http://schemas.openxmlformats.org/officeDocument/2006/relationships/hyperlink" Target="https://vimeo.com/208383117" TargetMode="External"/><Relationship Id="rId116" Type="http://schemas.openxmlformats.org/officeDocument/2006/relationships/hyperlink" Target="https://www.youtube.com/watch?v=WG3vdcq__I0&amp;list=PLyqKj7LwU2Rt1cwOsHwdXa2TiRzjA6uoB&amp;index=12" TargetMode="External"/><Relationship Id="rId323" Type="http://schemas.openxmlformats.org/officeDocument/2006/relationships/hyperlink" Target="https://www.youtube.com/watch?v=pjAewD4LxXs&amp;list=PLyqKj7LwU2RtZnGDmtpyhDdvUHFvVyZnA&amp;index=18" TargetMode="External"/><Relationship Id="rId530" Type="http://schemas.openxmlformats.org/officeDocument/2006/relationships/hyperlink" Target="https://youtu.be/FNlHyHYmYrc" TargetMode="External"/><Relationship Id="rId20" Type="http://schemas.openxmlformats.org/officeDocument/2006/relationships/hyperlink" Target="https://www.youtube.com/watch?v=NLDBFtSNhqg&amp;list=PLyqKj7LwU2RtZnGDmtpyhDdvUHFvVyZnA&amp;index=8" TargetMode="External"/><Relationship Id="rId62" Type="http://schemas.openxmlformats.org/officeDocument/2006/relationships/hyperlink" Target="https://www.youtube.com/watch?v=aV1U_mK3XOs&amp;list=PLyqKj7LwU2RuyZwWCIiDHuFZGN11QW3Ff&amp;index=9" TargetMode="External"/><Relationship Id="rId365" Type="http://schemas.openxmlformats.org/officeDocument/2006/relationships/hyperlink" Target="https://www.youtube.com/watch?v=hRJ6tR5-if0&amp;list=PLyqKj7LwU2RtjiVutSXk5uC2h7KVMu1Az&amp;index=3" TargetMode="External"/><Relationship Id="rId572" Type="http://schemas.openxmlformats.org/officeDocument/2006/relationships/hyperlink" Target="https://youtu.be/r30EoMPSNns" TargetMode="External"/><Relationship Id="rId628" Type="http://schemas.openxmlformats.org/officeDocument/2006/relationships/hyperlink" Target="https://youtu.be/RZG_4s7nlmA" TargetMode="External"/><Relationship Id="rId225" Type="http://schemas.openxmlformats.org/officeDocument/2006/relationships/hyperlink" Target="https://www.youtube.com/watch?v=YQ2s_Y7g5Qk&amp;list=PLyqKj7LwU2RuyZwWCIiDHuFZGN11QW3Ff&amp;index=6" TargetMode="External"/><Relationship Id="rId267" Type="http://schemas.openxmlformats.org/officeDocument/2006/relationships/hyperlink" Target="https://www.youtube.com/watch?v=pUS6HBQjRmc&amp;list=PLyqKj7LwU2Rt1cwOsHwdXa2TiRzjA6uoB&amp;index=2" TargetMode="External"/><Relationship Id="rId432" Type="http://schemas.openxmlformats.org/officeDocument/2006/relationships/hyperlink" Target="https://www.youtube.com/watch?v=iQ4JjOK73PE&amp;list=PLyqKj7LwU2RvQpfrgpWoyz-Jj2Xog_3Zx&amp;index=3" TargetMode="External"/><Relationship Id="rId474" Type="http://schemas.openxmlformats.org/officeDocument/2006/relationships/hyperlink" Target="https://youtu.be/xz9q5DUiC3I" TargetMode="External"/><Relationship Id="rId127" Type="http://schemas.openxmlformats.org/officeDocument/2006/relationships/hyperlink" Target="https://www.youtube.com/watch?v=jPjhQ2hsAds&amp;list=PLyqKj7LwU2RtMd8vP3NEoig1RPJQK78Ea&amp;index=8" TargetMode="External"/><Relationship Id="rId681" Type="http://schemas.openxmlformats.org/officeDocument/2006/relationships/hyperlink" Target="https://youtu.be/_1KvfgURbpE" TargetMode="External"/><Relationship Id="rId737" Type="http://schemas.openxmlformats.org/officeDocument/2006/relationships/table" Target="../tables/table44.xml"/><Relationship Id="rId31" Type="http://schemas.openxmlformats.org/officeDocument/2006/relationships/hyperlink" Target="https://www.youtube.com/watch?v=hh5516HCu4k&amp;list=PLyqKj7LwU2RtQyn5wWMJbD0rCV-cSkiK3&amp;index=4" TargetMode="External"/><Relationship Id="rId73" Type="http://schemas.openxmlformats.org/officeDocument/2006/relationships/hyperlink" Target="https://www.youtube.com/watch?v=O-OBCfyh9Fw&amp;list=PLyqKj7LwU2RuyZwWCIiDHuFZGN11QW3Ff&amp;index=25" TargetMode="External"/><Relationship Id="rId169" Type="http://schemas.openxmlformats.org/officeDocument/2006/relationships/hyperlink" Target="https://www.youtube.com/watch?v=n5WDXD_mpVY&amp;list=PLyqKj7LwU2Rvx_O313dzJNFKPiEqRMWiV&amp;index=6" TargetMode="External"/><Relationship Id="rId334" Type="http://schemas.openxmlformats.org/officeDocument/2006/relationships/hyperlink" Target="https://youtu.be/a2dNtC17WRU" TargetMode="External"/><Relationship Id="rId376" Type="http://schemas.openxmlformats.org/officeDocument/2006/relationships/hyperlink" Target="https://www.youtube.com/watch?v=T_X5rb3G5lk&amp;list=PLyqKj7LwU2RvTgEW_QlCCjtIL5d_KP_-I&amp;index=4" TargetMode="External"/><Relationship Id="rId541" Type="http://schemas.openxmlformats.org/officeDocument/2006/relationships/hyperlink" Target="https://vimeo.com/401738694" TargetMode="External"/><Relationship Id="rId583" Type="http://schemas.openxmlformats.org/officeDocument/2006/relationships/hyperlink" Target="https://youtu.be/OAhvIWLC0rc" TargetMode="External"/><Relationship Id="rId639" Type="http://schemas.openxmlformats.org/officeDocument/2006/relationships/hyperlink" Target="https://youtu.be/7s8-FEQm79I" TargetMode="External"/><Relationship Id="rId4" Type="http://schemas.openxmlformats.org/officeDocument/2006/relationships/hyperlink" Target="https://www.youtube.com/watch?v=i7J5h7BJ07g&amp;list=PLyqKj7LwU2RuAg-us4mzap6izNcc1fuRW&amp;index=5" TargetMode="External"/><Relationship Id="rId180" Type="http://schemas.openxmlformats.org/officeDocument/2006/relationships/hyperlink" Target="https://www.youtube.com/watch?v=NLDBFtSNhqg&amp;list=PLyqKj7LwU2RtZnGDmtpyhDdvUHFvVyZnA&amp;index=8" TargetMode="External"/><Relationship Id="rId236" Type="http://schemas.openxmlformats.org/officeDocument/2006/relationships/hyperlink" Target="https://www.youtube.com/watch?v=e_8HLu59-to&amp;list=PLyqKj7LwU2RuyZwWCIiDHuFZGN11QW3Ff&amp;index=3" TargetMode="External"/><Relationship Id="rId278" Type="http://schemas.openxmlformats.org/officeDocument/2006/relationships/hyperlink" Target="https://www.youtube.com/watch?v=fuK3nFvwgXk&amp;list=PLyqKj7LwU2Rt1cwOsHwdXa2TiRzjA6uoB&amp;index=6" TargetMode="External"/><Relationship Id="rId401" Type="http://schemas.openxmlformats.org/officeDocument/2006/relationships/hyperlink" Target="https://youtu.be/r30EoMPSNns" TargetMode="External"/><Relationship Id="rId443" Type="http://schemas.openxmlformats.org/officeDocument/2006/relationships/hyperlink" Target="https://www.youtube.com/watch?v=jQjWlIwG4sI&amp;list=PLyqKj7LwU2RsCtKw3UlE85HYgPM3-xoO1&amp;index=9" TargetMode="External"/><Relationship Id="rId650" Type="http://schemas.openxmlformats.org/officeDocument/2006/relationships/hyperlink" Target="https://vimeo.com/48989437" TargetMode="External"/><Relationship Id="rId303" Type="http://schemas.openxmlformats.org/officeDocument/2006/relationships/hyperlink" Target="https://www.youtube.com/watch?v=_t3lrPI6Ns4&amp;list=PLyqKj7LwU2RvynkwL93EcfuPUaDrWNOEc&amp;index=9" TargetMode="External"/><Relationship Id="rId485" Type="http://schemas.openxmlformats.org/officeDocument/2006/relationships/hyperlink" Target="https://youtu.be/RAds7xQE8BE" TargetMode="External"/><Relationship Id="rId692" Type="http://schemas.openxmlformats.org/officeDocument/2006/relationships/hyperlink" Target="https://youtu.be/38z0Ic1zY7Q" TargetMode="External"/><Relationship Id="rId706" Type="http://schemas.openxmlformats.org/officeDocument/2006/relationships/table" Target="../tables/table13.xml"/><Relationship Id="rId42" Type="http://schemas.openxmlformats.org/officeDocument/2006/relationships/hyperlink" Target="https://www.youtube.com/watch?v=D1f7d1OcobY&amp;list=PLyqKj7LwU2RuNVJBl0CtfZdxQ99IhKCcu&amp;index=9" TargetMode="External"/><Relationship Id="rId84" Type="http://schemas.openxmlformats.org/officeDocument/2006/relationships/hyperlink" Target="https://www.youtube.com/watch?v=XWt6FQAK5wM&amp;list=PLyqKj7LwU2RsCtKw3UlE85HYgPM3-xoO1&amp;index=19" TargetMode="External"/><Relationship Id="rId138" Type="http://schemas.openxmlformats.org/officeDocument/2006/relationships/hyperlink" Target="https://www.youtube.com/watch?v=_t3lrPI6Ns4&amp;list=PLyqKj7LwU2RvynkwL93EcfuPUaDrWNOEc&amp;index=9" TargetMode="External"/><Relationship Id="rId345" Type="http://schemas.openxmlformats.org/officeDocument/2006/relationships/hyperlink" Target="https://youtu.be/WcHtt6zT3Go" TargetMode="External"/><Relationship Id="rId387" Type="http://schemas.openxmlformats.org/officeDocument/2006/relationships/hyperlink" Target="https://www.youtube.com/watch?v=5CECBjd7HLQ&amp;list=PLyqKj7LwU2RuyZwWCIiDHuFZGN11QW3Ff&amp;index=13" TargetMode="External"/><Relationship Id="rId510" Type="http://schemas.openxmlformats.org/officeDocument/2006/relationships/hyperlink" Target="https://youtu.be/ybPm4clliqs" TargetMode="External"/><Relationship Id="rId552" Type="http://schemas.openxmlformats.org/officeDocument/2006/relationships/hyperlink" Target="https://youtu.be/Yrd6ZLwSbos" TargetMode="External"/><Relationship Id="rId594" Type="http://schemas.openxmlformats.org/officeDocument/2006/relationships/hyperlink" Target="https://youtu.be/XYs67yyC4GQ" TargetMode="External"/><Relationship Id="rId608" Type="http://schemas.openxmlformats.org/officeDocument/2006/relationships/hyperlink" Target="https://youtu.be/7SLT2N8s3S0" TargetMode="External"/><Relationship Id="rId191" Type="http://schemas.openxmlformats.org/officeDocument/2006/relationships/hyperlink" Target="https://www.youtube.com/watch?v=G2qpTG1Eh40&amp;list=PLyqKj7LwU2RtjiVutSXk5uC2h7KVMu1Az&amp;index=9" TargetMode="External"/><Relationship Id="rId205" Type="http://schemas.openxmlformats.org/officeDocument/2006/relationships/hyperlink" Target="https://www.youtube.com/watch?v=SKf8wHlIFX0&amp;list=PLyqKj7LwU2RuNVJBl0CtfZdxQ99IhKCcu&amp;index=10" TargetMode="External"/><Relationship Id="rId247" Type="http://schemas.openxmlformats.org/officeDocument/2006/relationships/hyperlink" Target="https://www.youtube.com/watch?v=VprlTxpB1rk&amp;list=PLyqKj7LwU2RsCtKw3UlE85HYgPM3-xoO1&amp;index=29" TargetMode="External"/><Relationship Id="rId412" Type="http://schemas.openxmlformats.org/officeDocument/2006/relationships/hyperlink" Target="https://www.youtube.com/watch?v=Raemd3qWgJc&amp;list=PLyqKj7LwU2RtjiVutSXk5uC2h7KVMu1Az&amp;index=10" TargetMode="External"/><Relationship Id="rId107" Type="http://schemas.openxmlformats.org/officeDocument/2006/relationships/hyperlink" Target="https://www.youtube.com/watch?v=EK747VC37yE&amp;list=PLyqKj7LwU2Rt1cwOsHwdXa2TiRzjA6uoB&amp;index=10" TargetMode="External"/><Relationship Id="rId289" Type="http://schemas.openxmlformats.org/officeDocument/2006/relationships/hyperlink" Target="https://www.youtube.com/watch?v=yZ83t4mrPrI&amp;list=PLyqKj7LwU2RtMd8vP3NEoig1RPJQK78Ea&amp;index=2" TargetMode="External"/><Relationship Id="rId454" Type="http://schemas.openxmlformats.org/officeDocument/2006/relationships/hyperlink" Target="https://vimeo.com/8827508" TargetMode="External"/><Relationship Id="rId496" Type="http://schemas.openxmlformats.org/officeDocument/2006/relationships/hyperlink" Target="https://youtu.be/7xHND8-Mrus" TargetMode="External"/><Relationship Id="rId661" Type="http://schemas.openxmlformats.org/officeDocument/2006/relationships/hyperlink" Target="https://vimeo.com/399848191" TargetMode="External"/><Relationship Id="rId717" Type="http://schemas.openxmlformats.org/officeDocument/2006/relationships/table" Target="../tables/table24.xml"/><Relationship Id="rId11" Type="http://schemas.openxmlformats.org/officeDocument/2006/relationships/hyperlink" Target="https://www.youtube.com/watch?v=5_ejbGfdAQE&amp;list=PLyqKj7LwU2Rvx_O313dzJNFKPiEqRMWiV&amp;index=1" TargetMode="External"/><Relationship Id="rId53" Type="http://schemas.openxmlformats.org/officeDocument/2006/relationships/hyperlink" Target="https://www.youtube.com/watch?v=5YK4bgzXDp0&amp;list=PLyqKj7LwU2Rv-tzrJev2STMTIGt_JeugT&amp;index=9" TargetMode="External"/><Relationship Id="rId149" Type="http://schemas.openxmlformats.org/officeDocument/2006/relationships/hyperlink" Target="https://www.youtube.com/watch?v=DAnTf16NcT0&amp;list=PLyqKj7LwU2RvTgEW_QlCCjtIL5d_KP_-I&amp;index=7" TargetMode="External"/><Relationship Id="rId314" Type="http://schemas.openxmlformats.org/officeDocument/2006/relationships/hyperlink" Target="https://www.youtube.com/watch?v=2wPpcJBe03o&amp;list=PLyqKj7LwU2RvQpfrgpWoyz-Jj2Xog_3Zx&amp;index=2" TargetMode="External"/><Relationship Id="rId356" Type="http://schemas.openxmlformats.org/officeDocument/2006/relationships/hyperlink" Target="https://www.youtube.com/watch?v=CSXVj047Ss4&amp;list=PLyqKj7LwU2RtZnGDmtpyhDdvUHFvVyZnA&amp;index=19" TargetMode="External"/><Relationship Id="rId398" Type="http://schemas.openxmlformats.org/officeDocument/2006/relationships/hyperlink" Target="https://www.youtube.com/watch?v=5z7ZtboxbBY&amp;list=PLyqKj7LwU2RvynkwL93EcfuPUaDrWNOEc&amp;index=7" TargetMode="External"/><Relationship Id="rId521" Type="http://schemas.openxmlformats.org/officeDocument/2006/relationships/hyperlink" Target="https://youtu.be/l4kQd9eWclE" TargetMode="External"/><Relationship Id="rId563" Type="http://schemas.openxmlformats.org/officeDocument/2006/relationships/hyperlink" Target="https://youtu.be/Tz-eIqfB-1Y" TargetMode="External"/><Relationship Id="rId619" Type="http://schemas.openxmlformats.org/officeDocument/2006/relationships/hyperlink" Target="https://youtu.be/lsjonJduQfY" TargetMode="External"/><Relationship Id="rId95" Type="http://schemas.openxmlformats.org/officeDocument/2006/relationships/hyperlink" Target="https://www.youtube.com/watch?v=oxpAl14EYyc&amp;list=PLyqKj7LwU2RsCtKw3UlE85HYgPM3-xoO1&amp;index=15" TargetMode="External"/><Relationship Id="rId160" Type="http://schemas.openxmlformats.org/officeDocument/2006/relationships/hyperlink" Target="https://www.youtube.com/watch?v=HwB-DevuJjU" TargetMode="External"/><Relationship Id="rId216" Type="http://schemas.openxmlformats.org/officeDocument/2006/relationships/hyperlink" Target="https://www.youtube.com/watch?v=f0g5NkYiWUY&amp;list=PLyqKj7LwU2Rv-tzrJev2STMTIGt_JeugT&amp;index=2" TargetMode="External"/><Relationship Id="rId423" Type="http://schemas.openxmlformats.org/officeDocument/2006/relationships/hyperlink" Target="https://www.youtube.com/watch?v=pXg8qppif7I&amp;list=PLyqKj7LwU2RvTgEW_QlCCjtIL5d_KP_-I&amp;index=5" TargetMode="External"/><Relationship Id="rId258" Type="http://schemas.openxmlformats.org/officeDocument/2006/relationships/hyperlink" Target="https://www.youtube.com/watch?v=UCXxvVItLoM&amp;list=PLyqKj7LwU2RsCtKw3UlE85HYgPM3-xoO1&amp;index=21" TargetMode="External"/><Relationship Id="rId465" Type="http://schemas.openxmlformats.org/officeDocument/2006/relationships/hyperlink" Target="https://youtu.be/C2VF9mcs7Vo" TargetMode="External"/><Relationship Id="rId630" Type="http://schemas.openxmlformats.org/officeDocument/2006/relationships/hyperlink" Target="https://youtu.be/G8dHuh08aJU" TargetMode="External"/><Relationship Id="rId672" Type="http://schemas.openxmlformats.org/officeDocument/2006/relationships/hyperlink" Target="https://youtu.be/mm6_WcoCVTA" TargetMode="External"/><Relationship Id="rId728" Type="http://schemas.openxmlformats.org/officeDocument/2006/relationships/table" Target="../tables/table35.xml"/><Relationship Id="rId22" Type="http://schemas.openxmlformats.org/officeDocument/2006/relationships/hyperlink" Target="https://www.youtube.com/watch?v=pv8e6OSyETE&amp;list=PLyqKj7LwU2RtZnGDmtpyhDdvUHFvVyZnA&amp;index=3" TargetMode="External"/><Relationship Id="rId64" Type="http://schemas.openxmlformats.org/officeDocument/2006/relationships/hyperlink" Target="https://www.youtube.com/watch?v=gmNlqsE3Onc&amp;list=PLyqKj7LwU2RuyZwWCIiDHuFZGN11QW3Ff&amp;index=5" TargetMode="External"/><Relationship Id="rId118" Type="http://schemas.openxmlformats.org/officeDocument/2006/relationships/hyperlink" Target="https://www.youtube.com/watch?v=2CDKTFFp5fA&amp;list=PLyqKj7LwU2Rt1cwOsHwdXa2TiRzjA6uoB&amp;index=16" TargetMode="External"/><Relationship Id="rId325" Type="http://schemas.openxmlformats.org/officeDocument/2006/relationships/hyperlink" Target="https://youtu.be/u8lo0lGPC6k" TargetMode="External"/><Relationship Id="rId367" Type="http://schemas.openxmlformats.org/officeDocument/2006/relationships/hyperlink" Target="https://www.youtube.com/watch?v=90cE3rCLtmo&amp;list=PLyqKj7LwU2Rv-tzrJev2STMTIGt_JeugT&amp;index=6" TargetMode="External"/><Relationship Id="rId532" Type="http://schemas.openxmlformats.org/officeDocument/2006/relationships/hyperlink" Target="https://youtu.be/TG7fR02Efqo" TargetMode="External"/><Relationship Id="rId574" Type="http://schemas.openxmlformats.org/officeDocument/2006/relationships/hyperlink" Target="https://youtu.be/JHRQUogqGbY" TargetMode="External"/><Relationship Id="rId171" Type="http://schemas.openxmlformats.org/officeDocument/2006/relationships/hyperlink" Target="https://www.youtube.com/watch?v=dEJ0FTm-CEk&amp;list=PLyqKj7LwU2Rvx_O313dzJNFKPiEqRMWiV&amp;index=4" TargetMode="External"/><Relationship Id="rId227" Type="http://schemas.openxmlformats.org/officeDocument/2006/relationships/hyperlink" Target="https://www.youtube.com/watch?v=aV1U_mK3XOs&amp;list=PLyqKj7LwU2RuyZwWCIiDHuFZGN11QW3Ff&amp;index=9" TargetMode="External"/><Relationship Id="rId269" Type="http://schemas.openxmlformats.org/officeDocument/2006/relationships/hyperlink" Target="https://www.youtube.com/watch?v=yuozln3CC94&amp;list=PLyqKj7LwU2Rt1cwOsHwdXa2TiRzjA6uoB&amp;index=4" TargetMode="External"/><Relationship Id="rId434" Type="http://schemas.openxmlformats.org/officeDocument/2006/relationships/hyperlink" Target="https://www.youtube.com/watch?v=8oR5hBwbIBc&amp;list=PLyqKj7LwU2RuyZwWCIiDHuFZGN11QW3Ff&amp;index=12" TargetMode="External"/><Relationship Id="rId476" Type="http://schemas.openxmlformats.org/officeDocument/2006/relationships/hyperlink" Target="https://youtu.be/DxdJmHo6opQ" TargetMode="External"/><Relationship Id="rId641" Type="http://schemas.openxmlformats.org/officeDocument/2006/relationships/hyperlink" Target="https://youtu.be/u8lo0lGPC6k" TargetMode="External"/><Relationship Id="rId683" Type="http://schemas.openxmlformats.org/officeDocument/2006/relationships/hyperlink" Target="https://vimeo.com/518377228" TargetMode="External"/><Relationship Id="rId739" Type="http://schemas.openxmlformats.org/officeDocument/2006/relationships/table" Target="../tables/table46.xml"/><Relationship Id="rId33" Type="http://schemas.openxmlformats.org/officeDocument/2006/relationships/hyperlink" Target="https://www.youtube.com/watch?v=HzIiNhHhhtA&amp;list=PLyqKj7LwU2RtjiVutSXk5uC2h7KVMu1Az&amp;index=7" TargetMode="External"/><Relationship Id="rId129" Type="http://schemas.openxmlformats.org/officeDocument/2006/relationships/hyperlink" Target="https://www.youtube.com/watch?v=OChuGyCSC7U&amp;list=PLyqKj7LwU2RtMd8vP3NEoig1RPJQK78Ea&amp;index=12" TargetMode="External"/><Relationship Id="rId280" Type="http://schemas.openxmlformats.org/officeDocument/2006/relationships/hyperlink" Target="https://www.youtube.com/watch?v=sxA__DoLsgo&amp;list=PLyqKj7LwU2Rt1cwOsHwdXa2TiRzjA6uoB&amp;index=11" TargetMode="External"/><Relationship Id="rId336" Type="http://schemas.openxmlformats.org/officeDocument/2006/relationships/hyperlink" Target="https://youtu.be/a2dNtC17WRU" TargetMode="External"/><Relationship Id="rId501" Type="http://schemas.openxmlformats.org/officeDocument/2006/relationships/hyperlink" Target="https://youtu.be/8TS775tZvKQ" TargetMode="External"/><Relationship Id="rId543" Type="http://schemas.openxmlformats.org/officeDocument/2006/relationships/hyperlink" Target="https://vimeo.com/208383186" TargetMode="External"/><Relationship Id="rId75" Type="http://schemas.openxmlformats.org/officeDocument/2006/relationships/hyperlink" Target="https://www.youtube.com/watch?v=GRgWPT9XSQQ&amp;list=PLyqKj7LwU2RsCtKw3UlE85HYgPM3-xoO1&amp;index=31" TargetMode="External"/><Relationship Id="rId140" Type="http://schemas.openxmlformats.org/officeDocument/2006/relationships/hyperlink" Target="https://www.youtube.com/watch?v=YykmcX2b-LY&amp;list=PLyqKj7LwU2RvynkwL93EcfuPUaDrWNOEc&amp;index=4" TargetMode="External"/><Relationship Id="rId182" Type="http://schemas.openxmlformats.org/officeDocument/2006/relationships/hyperlink" Target="https://www.youtube.com/watch?v=pv8e6OSyETE&amp;list=PLyqKj7LwU2RtZnGDmtpyhDdvUHFvVyZnA&amp;index=3" TargetMode="External"/><Relationship Id="rId378" Type="http://schemas.openxmlformats.org/officeDocument/2006/relationships/hyperlink" Target="https://www.youtube.com/watch?v=7FwGZ8qY5OU&amp;list=PLyqKj7LwU2RvTgEW_QlCCjtIL5d_KP_-I&amp;index=2" TargetMode="External"/><Relationship Id="rId403" Type="http://schemas.openxmlformats.org/officeDocument/2006/relationships/hyperlink" Target="https://youtu.be/JHRQUogqGbY" TargetMode="External"/><Relationship Id="rId585" Type="http://schemas.openxmlformats.org/officeDocument/2006/relationships/hyperlink" Target="https://youtu.be/GdSolgmyW68" TargetMode="External"/><Relationship Id="rId6" Type="http://schemas.openxmlformats.org/officeDocument/2006/relationships/hyperlink" Target="https://www.youtube.com/watch?v=m0FOpMEgero&amp;list=PLyqKj7LwU2RuAg-us4mzap6izNcc1fuRW&amp;index=6" TargetMode="External"/><Relationship Id="rId238" Type="http://schemas.openxmlformats.org/officeDocument/2006/relationships/hyperlink" Target="https://www.youtube.com/watch?v=O-OBCfyh9Fw&amp;list=PLyqKj7LwU2RuyZwWCIiDHuFZGN11QW3Ff&amp;index=25" TargetMode="External"/><Relationship Id="rId445" Type="http://schemas.openxmlformats.org/officeDocument/2006/relationships/hyperlink" Target="https://www.youtube.com/watch?v=iWpoegdfgtc&amp;list=PLyqKj7LwU2RsCtKw3UlE85HYgPM3-xoO1&amp;index=17" TargetMode="External"/><Relationship Id="rId487" Type="http://schemas.openxmlformats.org/officeDocument/2006/relationships/hyperlink" Target="https://youtu.be/x-9S-B8l8Mc" TargetMode="External"/><Relationship Id="rId610" Type="http://schemas.openxmlformats.org/officeDocument/2006/relationships/hyperlink" Target="https://youtu.be/WHX478thJHE" TargetMode="External"/><Relationship Id="rId652" Type="http://schemas.openxmlformats.org/officeDocument/2006/relationships/hyperlink" Target="https://youtu.be/BSLozN2vATI" TargetMode="External"/><Relationship Id="rId694" Type="http://schemas.openxmlformats.org/officeDocument/2006/relationships/table" Target="../tables/table1.xml"/><Relationship Id="rId708" Type="http://schemas.openxmlformats.org/officeDocument/2006/relationships/table" Target="../tables/table15.xml"/><Relationship Id="rId291" Type="http://schemas.openxmlformats.org/officeDocument/2006/relationships/hyperlink" Target="https://www.youtube.com/watch?v=6Fzep104f0s&amp;list=PLyqKj7LwU2RtMd8vP3NEoig1RPJQK78Ea&amp;index=6" TargetMode="External"/><Relationship Id="rId305" Type="http://schemas.openxmlformats.org/officeDocument/2006/relationships/hyperlink" Target="https://www.youtube.com/watch?v=YykmcX2b-LY&amp;list=PLyqKj7LwU2RvynkwL93EcfuPUaDrWNOEc&amp;index=4" TargetMode="External"/><Relationship Id="rId347" Type="http://schemas.openxmlformats.org/officeDocument/2006/relationships/hyperlink" Target="https://www.youtube.com/watch?v=_t3lrPI6Ns4&amp;list=PLyqKj7LwU2RvynkwL93EcfuPUaDrWNOEc&amp;index=9" TargetMode="External"/><Relationship Id="rId512" Type="http://schemas.openxmlformats.org/officeDocument/2006/relationships/hyperlink" Target="https://youtu.be/AJwYT2gPLd0" TargetMode="External"/><Relationship Id="rId44" Type="http://schemas.openxmlformats.org/officeDocument/2006/relationships/hyperlink" Target="https://www.youtube.com/watch?v=QIpa-9dtkgA&amp;list=PLyqKj7LwU2RuNVJBl0CtfZdxQ99IhKCcu&amp;index=8" TargetMode="External"/><Relationship Id="rId86" Type="http://schemas.openxmlformats.org/officeDocument/2006/relationships/hyperlink" Target="https://www.youtube.com/watch?v=--utaPT7XYQ&amp;list=PLyqKj7LwU2RsCtKw3UlE85HYgPM3-xoO1&amp;index=18" TargetMode="External"/><Relationship Id="rId151" Type="http://schemas.openxmlformats.org/officeDocument/2006/relationships/hyperlink" Target="https://www.youtube.com/watch?v=BIOM5eSsJ_8&amp;list=PLyqKj7LwU2RvTgEW_QlCCjtIL5d_KP_-I&amp;index=8" TargetMode="External"/><Relationship Id="rId389" Type="http://schemas.openxmlformats.org/officeDocument/2006/relationships/hyperlink" Target="https://www.youtube.com/watch?v=8oR5hBwbIBc&amp;list=PLyqKj7LwU2RuyZwWCIiDHuFZGN11QW3Ff&amp;index=12" TargetMode="External"/><Relationship Id="rId554" Type="http://schemas.openxmlformats.org/officeDocument/2006/relationships/hyperlink" Target="https://vimeo.com/518376227" TargetMode="External"/><Relationship Id="rId596" Type="http://schemas.openxmlformats.org/officeDocument/2006/relationships/hyperlink" Target="https://youtu.be/yfNg5sFndbw" TargetMode="External"/><Relationship Id="rId193" Type="http://schemas.openxmlformats.org/officeDocument/2006/relationships/hyperlink" Target="https://www.youtube.com/watch?v=Raemd3qWgJc&amp;list=PLyqKj7LwU2RtjiVutSXk5uC2h7KVMu1Az&amp;index=10" TargetMode="External"/><Relationship Id="rId207" Type="http://schemas.openxmlformats.org/officeDocument/2006/relationships/hyperlink" Target="https://www.youtube.com/watch?v=D1f7d1OcobY&amp;list=PLyqKj7LwU2RuNVJBl0CtfZdxQ99IhKCcu&amp;index=9" TargetMode="External"/><Relationship Id="rId249" Type="http://schemas.openxmlformats.org/officeDocument/2006/relationships/hyperlink" Target="https://www.youtube.com/watch?v=XWt6FQAK5wM&amp;list=PLyqKj7LwU2RsCtKw3UlE85HYgPM3-xoO1&amp;index=19" TargetMode="External"/><Relationship Id="rId414" Type="http://schemas.openxmlformats.org/officeDocument/2006/relationships/hyperlink" Target="https://www.youtube.com/watch?v=hRJ6tR5-if0&amp;list=PLyqKj7LwU2RtjiVutSXk5uC2h7KVMu1Az&amp;index=3" TargetMode="External"/><Relationship Id="rId456" Type="http://schemas.openxmlformats.org/officeDocument/2006/relationships/hyperlink" Target="https://youtu.be/aSJbKnDRIiQ" TargetMode="External"/><Relationship Id="rId498" Type="http://schemas.openxmlformats.org/officeDocument/2006/relationships/hyperlink" Target="https://youtu.be/e7DJteoE66g" TargetMode="External"/><Relationship Id="rId621" Type="http://schemas.openxmlformats.org/officeDocument/2006/relationships/hyperlink" Target="https://youtu.be/MZ7hTLkxwGk" TargetMode="External"/><Relationship Id="rId663" Type="http://schemas.openxmlformats.org/officeDocument/2006/relationships/hyperlink" Target="https://vimeo.com/518376947" TargetMode="External"/><Relationship Id="rId13" Type="http://schemas.openxmlformats.org/officeDocument/2006/relationships/hyperlink" Target="https://www.youtube.com/watch?v=mnxn-7SO9Ks&amp;list=PLyqKj7LwU2Rvx_O313dzJNFKPiEqRMWiV&amp;index=5" TargetMode="External"/><Relationship Id="rId109" Type="http://schemas.openxmlformats.org/officeDocument/2006/relationships/hyperlink" Target="https://www.youtube.com/watch?v=aTYlqC_JacQ&amp;list=PLyqKj7LwU2Rt1cwOsHwdXa2TiRzjA6uoB&amp;index=14" TargetMode="External"/><Relationship Id="rId260" Type="http://schemas.openxmlformats.org/officeDocument/2006/relationships/hyperlink" Target="https://www.youtube.com/watch?v=oxpAl14EYyc&amp;list=PLyqKj7LwU2RsCtKw3UlE85HYgPM3-xoO1&amp;index=15" TargetMode="External"/><Relationship Id="rId316" Type="http://schemas.openxmlformats.org/officeDocument/2006/relationships/hyperlink" Target="https://www.youtube.com/watch?v=lfQR7oVS8eo&amp;list=PLyqKj7LwU2RvQpfrgpWoyz-Jj2Xog_3Zx&amp;index=4" TargetMode="External"/><Relationship Id="rId523" Type="http://schemas.openxmlformats.org/officeDocument/2006/relationships/hyperlink" Target="https://youtu.be/QOCn3_iOAro" TargetMode="External"/><Relationship Id="rId719" Type="http://schemas.openxmlformats.org/officeDocument/2006/relationships/table" Target="../tables/table26.xml"/><Relationship Id="rId55" Type="http://schemas.openxmlformats.org/officeDocument/2006/relationships/hyperlink" Target="https://www.youtube.com/watch?v=FxQ0XEoFYQk&amp;list=PLyqKj7LwU2RuyZwWCIiDHuFZGN11QW3Ff&amp;index=18" TargetMode="External"/><Relationship Id="rId97" Type="http://schemas.openxmlformats.org/officeDocument/2006/relationships/hyperlink" Target="https://www.youtube.com/watch?v=tZUYS7X50so&amp;list=PLyqKj7LwU2RsCtKw3UlE85HYgPM3-xoO1&amp;index=12" TargetMode="External"/><Relationship Id="rId120" Type="http://schemas.openxmlformats.org/officeDocument/2006/relationships/hyperlink" Target="https://www.youtube.com/watch?v=l3rHYPtMUo8&amp;list=PLyqKj7LwU2RtMd8vP3NEoig1RPJQK78Ea&amp;index=3" TargetMode="External"/><Relationship Id="rId358" Type="http://schemas.openxmlformats.org/officeDocument/2006/relationships/hyperlink" Target="https://www.youtube.com/watch?v=eFWCn5iEbTU&amp;list=PLyqKj7LwU2RtZnGDmtpyhDdvUHFvVyZnA&amp;index=7" TargetMode="External"/><Relationship Id="rId565" Type="http://schemas.openxmlformats.org/officeDocument/2006/relationships/hyperlink" Target="https://youtu.be/6hpL2xoW08s" TargetMode="External"/><Relationship Id="rId730" Type="http://schemas.openxmlformats.org/officeDocument/2006/relationships/table" Target="../tables/table37.xml"/><Relationship Id="rId162" Type="http://schemas.openxmlformats.org/officeDocument/2006/relationships/hyperlink" Target="https://www.youtube.com/watch?v=DAnTf16NcT0&amp;list=PLyqKj7LwU2RvTgEW_QlCCjtIL5d_KP_-I&amp;index=7" TargetMode="External"/><Relationship Id="rId218" Type="http://schemas.openxmlformats.org/officeDocument/2006/relationships/hyperlink" Target="https://www.youtube.com/watch?v=5YK4bgzXDp0&amp;list=PLyqKj7LwU2Rv-tzrJev2STMTIGt_JeugT&amp;index=9" TargetMode="External"/><Relationship Id="rId425" Type="http://schemas.openxmlformats.org/officeDocument/2006/relationships/hyperlink" Target="https://www.youtube.com/watch?v=T_X5rb3G5lk&amp;list=PLyqKj7LwU2RvTgEW_QlCCjtIL5d_KP_-I&amp;index=4" TargetMode="External"/><Relationship Id="rId467" Type="http://schemas.openxmlformats.org/officeDocument/2006/relationships/hyperlink" Target="https://youtu.be/M_dUNslNjBU" TargetMode="External"/><Relationship Id="rId632" Type="http://schemas.openxmlformats.org/officeDocument/2006/relationships/hyperlink" Target="https://youtu.be/2x4Ob8WDMjk" TargetMode="External"/><Relationship Id="rId271" Type="http://schemas.openxmlformats.org/officeDocument/2006/relationships/hyperlink" Target="https://www.youtube.com/watch?v=cdmnvo3augg&amp;list=PLyqKj7LwU2Rt1cwOsHwdXa2TiRzjA6uoB&amp;index=9" TargetMode="External"/><Relationship Id="rId674" Type="http://schemas.openxmlformats.org/officeDocument/2006/relationships/hyperlink" Target="https://youtu.be/Me9bHFAxnCs" TargetMode="External"/><Relationship Id="rId24" Type="http://schemas.openxmlformats.org/officeDocument/2006/relationships/hyperlink" Target="https://www.youtube.com/watch?v=D-c2CWwEweo&amp;list=PLyqKj7LwU2RtZnGDmtpyhDdvUHFvVyZnA&amp;index=17" TargetMode="External"/><Relationship Id="rId66" Type="http://schemas.openxmlformats.org/officeDocument/2006/relationships/hyperlink" Target="https://www.youtube.com/watch?v=FDay9wFe5uE&amp;list=PLyqKj7LwU2RuyZwWCIiDHuFZGN11QW3Ff&amp;index=21" TargetMode="External"/><Relationship Id="rId131" Type="http://schemas.openxmlformats.org/officeDocument/2006/relationships/hyperlink" Target="https://www.youtube.com/watch?v=Cp_bShvMY4c&amp;list=PLyqKj7LwU2RtMd8vP3NEoig1RPJQK78Ea&amp;index=5" TargetMode="External"/><Relationship Id="rId327" Type="http://schemas.openxmlformats.org/officeDocument/2006/relationships/hyperlink" Target="https://youtu.be/2zhFTw2epoc" TargetMode="External"/><Relationship Id="rId369" Type="http://schemas.openxmlformats.org/officeDocument/2006/relationships/hyperlink" Target="https://www.youtube.com/watch?v=aTYlqC_JacQ&amp;list=PLyqKj7LwU2Rt1cwOsHwdXa2TiRzjA6uoB&amp;index=14" TargetMode="External"/><Relationship Id="rId534" Type="http://schemas.openxmlformats.org/officeDocument/2006/relationships/hyperlink" Target="https://vimeo.com/208383153" TargetMode="External"/><Relationship Id="rId576" Type="http://schemas.openxmlformats.org/officeDocument/2006/relationships/hyperlink" Target="https://vimeo.com/8827508" TargetMode="External"/><Relationship Id="rId741" Type="http://schemas.openxmlformats.org/officeDocument/2006/relationships/table" Target="../tables/table48.xml"/><Relationship Id="rId173" Type="http://schemas.openxmlformats.org/officeDocument/2006/relationships/hyperlink" Target="https://www.youtube.com/watch?v=cYKYGwcg0U8&amp;list=PLyqKj7LwU2Rvx_O313dzJNFKPiEqRMWiV&amp;index=2" TargetMode="External"/><Relationship Id="rId229" Type="http://schemas.openxmlformats.org/officeDocument/2006/relationships/hyperlink" Target="https://www.youtube.com/watch?v=gmNlqsE3Onc&amp;list=PLyqKj7LwU2RuyZwWCIiDHuFZGN11QW3Ff&amp;index=5" TargetMode="External"/><Relationship Id="rId380" Type="http://schemas.openxmlformats.org/officeDocument/2006/relationships/hyperlink" Target="https://www.youtube.com/watch?v=pjAewD4LxXs&amp;list=PLyqKj7LwU2RtZnGDmtpyhDdvUHFvVyZnA&amp;index=18" TargetMode="External"/><Relationship Id="rId436" Type="http://schemas.openxmlformats.org/officeDocument/2006/relationships/hyperlink" Target="https://www.youtube.com/watch?v=gmNlqsE3Onc&amp;list=PLyqKj7LwU2RuyZwWCIiDHuFZGN11QW3Ff&amp;index=5" TargetMode="External"/><Relationship Id="rId601" Type="http://schemas.openxmlformats.org/officeDocument/2006/relationships/hyperlink" Target="https://youtu.be/5V4qrxlVhLw" TargetMode="External"/><Relationship Id="rId643" Type="http://schemas.openxmlformats.org/officeDocument/2006/relationships/hyperlink" Target="https://youtu.be/2zhFTw2epoc" TargetMode="External"/><Relationship Id="rId240" Type="http://schemas.openxmlformats.org/officeDocument/2006/relationships/hyperlink" Target="https://www.youtube.com/watch?v=GRgWPT9XSQQ&amp;list=PLyqKj7LwU2RsCtKw3UlE85HYgPM3-xoO1&amp;index=31" TargetMode="External"/><Relationship Id="rId478" Type="http://schemas.openxmlformats.org/officeDocument/2006/relationships/hyperlink" Target="https://youtu.be/WscHYo3_pPs" TargetMode="External"/><Relationship Id="rId685" Type="http://schemas.openxmlformats.org/officeDocument/2006/relationships/hyperlink" Target="https://youtu.be/GwiTejyALwc" TargetMode="External"/><Relationship Id="rId35" Type="http://schemas.openxmlformats.org/officeDocument/2006/relationships/hyperlink" Target="https://www.youtube.com/watch?v=OLqZDUUD2b0&amp;list=PLyqKj7LwU2RtjiVutSXk5uC2h7KVMu1Az&amp;index=8" TargetMode="External"/><Relationship Id="rId77" Type="http://schemas.openxmlformats.org/officeDocument/2006/relationships/hyperlink" Target="https://www.youtube.com/watch?v=GdsRZAeeDUc&amp;list=PLyqKj7LwU2RsCtKw3UlE85HYgPM3-xoO1&amp;index=2" TargetMode="External"/><Relationship Id="rId100" Type="http://schemas.openxmlformats.org/officeDocument/2006/relationships/hyperlink" Target="https://www.youtube.com/watch?v=4H2ItXwUTp8&amp;list=PLyqKj7LwU2RsCtKw3UlE85HYgPM3-xoO1&amp;index=20" TargetMode="External"/><Relationship Id="rId282" Type="http://schemas.openxmlformats.org/officeDocument/2006/relationships/hyperlink" Target="https://www.youtube.com/watch?v=Ja6ZlIDONac&amp;list=PLyqKj7LwU2Rt1cwOsHwdXa2TiRzjA6uoB&amp;index=15" TargetMode="External"/><Relationship Id="rId338" Type="http://schemas.openxmlformats.org/officeDocument/2006/relationships/hyperlink" Target="https://youtu.be/CWOZyf8kaH0" TargetMode="External"/><Relationship Id="rId503" Type="http://schemas.openxmlformats.org/officeDocument/2006/relationships/hyperlink" Target="https://youtu.be/KlTEgg1yv8M" TargetMode="External"/><Relationship Id="rId545" Type="http://schemas.openxmlformats.org/officeDocument/2006/relationships/hyperlink" Target="https://vimeo.com/208383079" TargetMode="External"/><Relationship Id="rId587" Type="http://schemas.openxmlformats.org/officeDocument/2006/relationships/hyperlink" Target="https://youtu.be/3NXv0Nany-Q" TargetMode="External"/><Relationship Id="rId710" Type="http://schemas.openxmlformats.org/officeDocument/2006/relationships/table" Target="../tables/table17.xml"/><Relationship Id="rId8" Type="http://schemas.openxmlformats.org/officeDocument/2006/relationships/hyperlink" Target="https://www.youtube.com/watch?v=n5WDXD_mpVY&amp;list=PLyqKj7LwU2Rvx_O313dzJNFKPiEqRMWiV&amp;index=6" TargetMode="External"/><Relationship Id="rId142" Type="http://schemas.openxmlformats.org/officeDocument/2006/relationships/hyperlink" Target="https://www.youtube.com/watch?v=5z7ZtboxbBY&amp;list=PLyqKj7LwU2RvynkwL93EcfuPUaDrWNOEc&amp;index=7" TargetMode="External"/><Relationship Id="rId184" Type="http://schemas.openxmlformats.org/officeDocument/2006/relationships/hyperlink" Target="https://www.youtube.com/watch?v=D-c2CWwEweo&amp;list=PLyqKj7LwU2RtZnGDmtpyhDdvUHFvVyZnA&amp;index=17" TargetMode="External"/><Relationship Id="rId391" Type="http://schemas.openxmlformats.org/officeDocument/2006/relationships/hyperlink" Target="https://www.youtube.com/watch?v=GRgWPT9XSQQ&amp;list=PLyqKj7LwU2RsCtKw3UlE85HYgPM3-xoO1&amp;index=31" TargetMode="External"/><Relationship Id="rId405" Type="http://schemas.openxmlformats.org/officeDocument/2006/relationships/hyperlink" Target="https://www.youtube.com/watch?v=D-c2CWwEweo&amp;list=PLyqKj7LwU2RtZnGDmtpyhDdvUHFvVyZnA&amp;index=17" TargetMode="External"/><Relationship Id="rId447" Type="http://schemas.openxmlformats.org/officeDocument/2006/relationships/hyperlink" Target="https://youtu.be/Z_cFkKqCiUE" TargetMode="External"/><Relationship Id="rId612" Type="http://schemas.openxmlformats.org/officeDocument/2006/relationships/hyperlink" Target="https://youtu.be/Mj1coommANU" TargetMode="External"/><Relationship Id="rId251" Type="http://schemas.openxmlformats.org/officeDocument/2006/relationships/hyperlink" Target="https://www.youtube.com/watch?v=--utaPT7XYQ&amp;list=PLyqKj7LwU2RsCtKw3UlE85HYgPM3-xoO1&amp;index=18" TargetMode="External"/><Relationship Id="rId489" Type="http://schemas.openxmlformats.org/officeDocument/2006/relationships/hyperlink" Target="https://youtu.be/HaYPm8JE74I" TargetMode="External"/><Relationship Id="rId654" Type="http://schemas.openxmlformats.org/officeDocument/2006/relationships/hyperlink" Target="https://youtu.be/FNlHyHYmYrc" TargetMode="External"/><Relationship Id="rId696" Type="http://schemas.openxmlformats.org/officeDocument/2006/relationships/table" Target="../tables/table3.xml"/><Relationship Id="rId46" Type="http://schemas.openxmlformats.org/officeDocument/2006/relationships/hyperlink" Target="https://www.youtube.com/watch?v=nzTY7j9ocR8&amp;list=PLyqKj7LwU2Rv-tzrJev2STMTIGt_JeugT&amp;index=5" TargetMode="External"/><Relationship Id="rId293" Type="http://schemas.openxmlformats.org/officeDocument/2006/relationships/hyperlink" Target="https://www.youtube.com/watch?v=1u18yJELsh0&amp;list=PLyqKj7LwU2RtMd8vP3NEoig1RPJQK78Ea&amp;index=4" TargetMode="External"/><Relationship Id="rId307" Type="http://schemas.openxmlformats.org/officeDocument/2006/relationships/hyperlink" Target="https://www.youtube.com/watch?v=5z7ZtboxbBY&amp;list=PLyqKj7LwU2RvynkwL93EcfuPUaDrWNOEc&amp;index=7" TargetMode="External"/><Relationship Id="rId349" Type="http://schemas.openxmlformats.org/officeDocument/2006/relationships/hyperlink" Target="https://www.youtube.com/watch?v=zgToz5FiI-E&amp;list=PLyqKj7LwU2RvynkwL93EcfuPUaDrWNOEc&amp;index=10" TargetMode="External"/><Relationship Id="rId514" Type="http://schemas.openxmlformats.org/officeDocument/2006/relationships/hyperlink" Target="https://youtu.be/5f3Ff_XhiAc" TargetMode="External"/><Relationship Id="rId556" Type="http://schemas.openxmlformats.org/officeDocument/2006/relationships/hyperlink" Target="https://youtu.be/K4VAFznrNLk" TargetMode="External"/><Relationship Id="rId721" Type="http://schemas.openxmlformats.org/officeDocument/2006/relationships/table" Target="../tables/table28.xml"/><Relationship Id="rId88" Type="http://schemas.openxmlformats.org/officeDocument/2006/relationships/hyperlink" Target="https://www.youtube.com/watch?v=6FZHJGzMFEc&amp;list=PLyqKj7LwU2RsCtKw3UlE85HYgPM3-xoO1&amp;index=5" TargetMode="External"/><Relationship Id="rId111" Type="http://schemas.openxmlformats.org/officeDocument/2006/relationships/hyperlink" Target="https://www.youtube.com/watch?v=XOEL4MgekYE&amp;list=PLyqKj7LwU2Rt1cwOsHwdXa2TiRzjA6uoB&amp;index=13" TargetMode="External"/><Relationship Id="rId153" Type="http://schemas.openxmlformats.org/officeDocument/2006/relationships/hyperlink" Target="https://www.youtube.com/watch?v=RD_A-Z15ER4&amp;list=PLyqKj7LwU2RvTgEW_QlCCjtIL5d_KP_-I&amp;index=1" TargetMode="External"/><Relationship Id="rId195" Type="http://schemas.openxmlformats.org/officeDocument/2006/relationships/hyperlink" Target="https://www.youtube.com/watch?v=WvLMauqrnK8&amp;list=PLyqKj7LwU2RtjiVutSXk5uC2h7KVMu1Az&amp;index=5" TargetMode="External"/><Relationship Id="rId209" Type="http://schemas.openxmlformats.org/officeDocument/2006/relationships/hyperlink" Target="https://www.youtube.com/watch?v=QIpa-9dtkgA&amp;list=PLyqKj7LwU2RuNVJBl0CtfZdxQ99IhKCcu&amp;index=8" TargetMode="External"/><Relationship Id="rId360" Type="http://schemas.openxmlformats.org/officeDocument/2006/relationships/hyperlink" Target="https://www.youtube.com/watch?v=SKf8wHlIFX0&amp;list=PLyqKj7LwU2RuNVJBl0CtfZdxQ99IhKCcu&amp;index=10" TargetMode="External"/><Relationship Id="rId416" Type="http://schemas.openxmlformats.org/officeDocument/2006/relationships/hyperlink" Target="https://www.youtube.com/watch?v=34gVHrkaiz0&amp;list=PLyqKj7LwU2Rv-tzrJev2STMTIGt_JeugT&amp;index=1" TargetMode="External"/><Relationship Id="rId598" Type="http://schemas.openxmlformats.org/officeDocument/2006/relationships/hyperlink" Target="https://youtu.be/xz9q5DUiC3I" TargetMode="External"/><Relationship Id="rId220" Type="http://schemas.openxmlformats.org/officeDocument/2006/relationships/hyperlink" Target="https://www.youtube.com/watch?v=FxQ0XEoFYQk&amp;list=PLyqKj7LwU2RuyZwWCIiDHuFZGN11QW3Ff&amp;index=18" TargetMode="External"/><Relationship Id="rId458" Type="http://schemas.openxmlformats.org/officeDocument/2006/relationships/hyperlink" Target="https://youtu.be/3KKVWOATE-Q" TargetMode="External"/><Relationship Id="rId623" Type="http://schemas.openxmlformats.org/officeDocument/2006/relationships/hyperlink" Target="https://youtu.be/UB1EqxpFY78" TargetMode="External"/><Relationship Id="rId665" Type="http://schemas.openxmlformats.org/officeDocument/2006/relationships/hyperlink" Target="https://vimeo.com/401738694" TargetMode="External"/><Relationship Id="rId15" Type="http://schemas.openxmlformats.org/officeDocument/2006/relationships/hyperlink" Target="https://www.youtube.com/watch?v=eFWCn5iEbTU&amp;list=PLyqKj7LwU2RtZnGDmtpyhDdvUHFvVyZnA&amp;index=7" TargetMode="External"/><Relationship Id="rId57" Type="http://schemas.openxmlformats.org/officeDocument/2006/relationships/hyperlink" Target="https://www.youtube.com/watch?v=8urE8Z8AMQ4&amp;list=PLyqKj7LwU2RuyZwWCIiDHuFZGN11QW3Ff&amp;index=28" TargetMode="External"/><Relationship Id="rId262" Type="http://schemas.openxmlformats.org/officeDocument/2006/relationships/hyperlink" Target="https://www.youtube.com/watch?v=tZUYS7X50so&amp;list=PLyqKj7LwU2RsCtKw3UlE85HYgPM3-xoO1&amp;index=12" TargetMode="External"/><Relationship Id="rId318" Type="http://schemas.openxmlformats.org/officeDocument/2006/relationships/hyperlink" Target="https://www.youtube.com/watch?v=rYgNArpwE7E&amp;list=PLyqKj7LwU2RuAg-us4mzap6izNcc1fuRW&amp;index=4" TargetMode="External"/><Relationship Id="rId525" Type="http://schemas.openxmlformats.org/officeDocument/2006/relationships/hyperlink" Target="https://vimeo.com/172361603" TargetMode="External"/><Relationship Id="rId567" Type="http://schemas.openxmlformats.org/officeDocument/2006/relationships/hyperlink" Target="https://youtu.be/nImVcz1_gio" TargetMode="External"/><Relationship Id="rId732" Type="http://schemas.openxmlformats.org/officeDocument/2006/relationships/table" Target="../tables/table39.xml"/><Relationship Id="rId99" Type="http://schemas.openxmlformats.org/officeDocument/2006/relationships/hyperlink" Target="https://www.youtube.com/watch?v=_FrrYQxA6kc&amp;list=PLyqKj7LwU2RsCtKw3UlE85HYgPM3-xoO1&amp;index=14" TargetMode="External"/><Relationship Id="rId122" Type="http://schemas.openxmlformats.org/officeDocument/2006/relationships/hyperlink" Target="https://www.youtube.com/watch?v=IdZ7HXnatko&amp;list=PLyqKj7LwU2RtMd8vP3NEoig1RPJQK78Ea&amp;index=9" TargetMode="External"/><Relationship Id="rId164" Type="http://schemas.openxmlformats.org/officeDocument/2006/relationships/hyperlink" Target="https://www.youtube.com/watch?v=BIOM5eSsJ_8&amp;list=PLyqKj7LwU2RvTgEW_QlCCjtIL5d_KP_-I&amp;index=8" TargetMode="External"/><Relationship Id="rId371" Type="http://schemas.openxmlformats.org/officeDocument/2006/relationships/hyperlink" Target="https://www.youtube.com/watch?v=XOEL4MgekYE&amp;list=PLyqKj7LwU2Rt1cwOsHwdXa2TiRzjA6uoB&amp;index=13" TargetMode="External"/><Relationship Id="rId427" Type="http://schemas.openxmlformats.org/officeDocument/2006/relationships/hyperlink" Target="https://www.youtube.com/watch?v=7FwGZ8qY5OU&amp;list=PLyqKj7LwU2RvTgEW_QlCCjtIL5d_KP_-I&amp;index=2" TargetMode="External"/><Relationship Id="rId469" Type="http://schemas.openxmlformats.org/officeDocument/2006/relationships/hyperlink" Target="https://youtu.be/-dwKh9QzoKc" TargetMode="External"/><Relationship Id="rId634" Type="http://schemas.openxmlformats.org/officeDocument/2006/relationships/hyperlink" Target="https://youtu.be/ybPm4clliqs" TargetMode="External"/><Relationship Id="rId676" Type="http://schemas.openxmlformats.org/officeDocument/2006/relationships/hyperlink" Target="https://youtu.be/Yrd6ZLwSbos" TargetMode="External"/><Relationship Id="rId26" Type="http://schemas.openxmlformats.org/officeDocument/2006/relationships/hyperlink" Target="https://www.youtube.com/watch?v=CSXVj047Ss4&amp;list=PLyqKj7LwU2RtZnGDmtpyhDdvUHFvVyZnA&amp;index=19" TargetMode="External"/><Relationship Id="rId231" Type="http://schemas.openxmlformats.org/officeDocument/2006/relationships/hyperlink" Target="https://www.youtube.com/watch?v=FDay9wFe5uE&amp;list=PLyqKj7LwU2RuyZwWCIiDHuFZGN11QW3Ff&amp;index=21" TargetMode="External"/><Relationship Id="rId273" Type="http://schemas.openxmlformats.org/officeDocument/2006/relationships/hyperlink" Target="https://www.youtube.com/watch?v=840rgLSw-84" TargetMode="External"/><Relationship Id="rId329" Type="http://schemas.openxmlformats.org/officeDocument/2006/relationships/hyperlink" Target="https://youtu.be/l4kQd9eWclE" TargetMode="External"/><Relationship Id="rId480" Type="http://schemas.openxmlformats.org/officeDocument/2006/relationships/hyperlink" Target="https://youtu.be/oOOqKURO0mU" TargetMode="External"/><Relationship Id="rId536" Type="http://schemas.openxmlformats.org/officeDocument/2006/relationships/hyperlink" Target="https://vimeo.com/366347958" TargetMode="External"/><Relationship Id="rId701" Type="http://schemas.openxmlformats.org/officeDocument/2006/relationships/table" Target="../tables/table8.xml"/><Relationship Id="rId68" Type="http://schemas.openxmlformats.org/officeDocument/2006/relationships/hyperlink" Target="https://www.youtube.com/watch?v=JFm8KbhjibM&amp;list=PLyqKj7LwU2RuyZwWCIiDHuFZGN11QW3Ff&amp;index=7" TargetMode="External"/><Relationship Id="rId133" Type="http://schemas.openxmlformats.org/officeDocument/2006/relationships/hyperlink" Target="https://www.youtube.com/watch?v=kqidUIf1eJE&amp;list=PLyqKj7LwU2RtMd8vP3NEoig1RPJQK78Ea&amp;index=13" TargetMode="External"/><Relationship Id="rId175" Type="http://schemas.openxmlformats.org/officeDocument/2006/relationships/hyperlink" Target="https://www.youtube.com/watch?v=_meXEWq5MOQ&amp;list=PLyqKj7LwU2RtZnGDmtpyhDdvUHFvVyZnA&amp;index=2" TargetMode="External"/><Relationship Id="rId340" Type="http://schemas.openxmlformats.org/officeDocument/2006/relationships/hyperlink" Target="https://www.youtube.com/watch?v=4eDJa5MnAmY&amp;list=PLyqKj7LwU2RtZnGDmtpyhDdvUHFvVyZnA&amp;index=15" TargetMode="External"/><Relationship Id="rId578" Type="http://schemas.openxmlformats.org/officeDocument/2006/relationships/hyperlink" Target="https://vimeo.com/427683800" TargetMode="External"/><Relationship Id="rId743" Type="http://schemas.openxmlformats.org/officeDocument/2006/relationships/table" Target="../tables/table50.xml"/><Relationship Id="rId200" Type="http://schemas.openxmlformats.org/officeDocument/2006/relationships/hyperlink" Target="https://www.youtube.com/watch?v=87pZAbYjXc4&amp;list=PLyqKj7LwU2RtjiVutSXk5uC2h7KVMu1Az&amp;index=4" TargetMode="External"/><Relationship Id="rId382" Type="http://schemas.openxmlformats.org/officeDocument/2006/relationships/hyperlink" Target="https://www.youtube.com/watch?v=2wPpcJBe03o&amp;list=PLyqKj7LwU2RvQpfrgpWoyz-Jj2Xog_3Zx&amp;index=2" TargetMode="External"/><Relationship Id="rId438" Type="http://schemas.openxmlformats.org/officeDocument/2006/relationships/hyperlink" Target="https://www.youtube.com/watch?v=5CECBjd7HLQ&amp;list=PLyqKj7LwU2RuyZwWCIiDHuFZGN11QW3Ff&amp;index=13" TargetMode="External"/><Relationship Id="rId603" Type="http://schemas.openxmlformats.org/officeDocument/2006/relationships/hyperlink" Target="https://youtu.be/dKRaKON0g3E" TargetMode="External"/><Relationship Id="rId645" Type="http://schemas.openxmlformats.org/officeDocument/2006/relationships/hyperlink" Target="https://youtu.be/l4kQd9eWclE" TargetMode="External"/><Relationship Id="rId687" Type="http://schemas.openxmlformats.org/officeDocument/2006/relationships/hyperlink" Target="https://youtu.be/bU6rYBZG42E" TargetMode="External"/><Relationship Id="rId242" Type="http://schemas.openxmlformats.org/officeDocument/2006/relationships/hyperlink" Target="https://www.youtube.com/watch?v=GdsRZAeeDUc&amp;list=PLyqKj7LwU2RsCtKw3UlE85HYgPM3-xoO1&amp;index=2" TargetMode="External"/><Relationship Id="rId284" Type="http://schemas.openxmlformats.org/officeDocument/2006/relationships/hyperlink" Target="https://www.youtube.com/watch?v=gcRZqG8t44c&amp;list=PLyqKj7LwU2RtMd8vP3NEoig1RPJQK78Ea&amp;index=15" TargetMode="External"/><Relationship Id="rId491" Type="http://schemas.openxmlformats.org/officeDocument/2006/relationships/hyperlink" Target="https://youtu.be/0rLjkQweIDg" TargetMode="External"/><Relationship Id="rId505" Type="http://schemas.openxmlformats.org/officeDocument/2006/relationships/hyperlink" Target="https://youtu.be/MrcpvuS738s" TargetMode="External"/><Relationship Id="rId712" Type="http://schemas.openxmlformats.org/officeDocument/2006/relationships/table" Target="../tables/table19.xml"/><Relationship Id="rId37" Type="http://schemas.openxmlformats.org/officeDocument/2006/relationships/hyperlink" Target="https://www.youtube.com/watch?v=um3VVzqunPU&amp;list=PLyqKj7LwU2RuNVJBl0CtfZdxQ99IhKCcu&amp;index=1" TargetMode="External"/><Relationship Id="rId79" Type="http://schemas.openxmlformats.org/officeDocument/2006/relationships/hyperlink" Target="https://www.youtube.com/watch?v=0tiC6RUZL8Y&amp;list=PLyqKj7LwU2RsCtKw3UlE85HYgPM3-xoO1&amp;index=4" TargetMode="External"/><Relationship Id="rId102" Type="http://schemas.openxmlformats.org/officeDocument/2006/relationships/hyperlink" Target="https://www.youtube.com/watch?v=pUS6HBQjRmc&amp;list=PLyqKj7LwU2Rt1cwOsHwdXa2TiRzjA6uoB&amp;index=2" TargetMode="External"/><Relationship Id="rId144" Type="http://schemas.openxmlformats.org/officeDocument/2006/relationships/hyperlink" Target="https://www.youtube.com/watch?v=d9daNDIXtK8&amp;list=PLyqKj7LwU2RvynkwL93EcfuPUaDrWNOEc&amp;index=1" TargetMode="External"/><Relationship Id="rId547" Type="http://schemas.openxmlformats.org/officeDocument/2006/relationships/hyperlink" Target="https://youtu.be/gmNlqsE3Onc" TargetMode="External"/><Relationship Id="rId589" Type="http://schemas.openxmlformats.org/officeDocument/2006/relationships/hyperlink" Target="https://youtu.be/C2VF9mcs7Vo" TargetMode="External"/><Relationship Id="rId90" Type="http://schemas.openxmlformats.org/officeDocument/2006/relationships/hyperlink" Target="https://www.youtube.com/watch?v=0UBRfiO4zDs&amp;list=PLyqKj7LwU2RsCtKw3UlE85HYgPM3-xoO1&amp;index=8" TargetMode="External"/><Relationship Id="rId186" Type="http://schemas.openxmlformats.org/officeDocument/2006/relationships/hyperlink" Target="https://www.youtube.com/watch?v=N3awlEyTY98&amp;list=PLyqKj7LwU2RtQyn5wWMJbD0rCV-cSkiK3&amp;index=1" TargetMode="External"/><Relationship Id="rId351" Type="http://schemas.openxmlformats.org/officeDocument/2006/relationships/hyperlink" Target="https://youtu.be/r30EoMPSNns" TargetMode="External"/><Relationship Id="rId393" Type="http://schemas.openxmlformats.org/officeDocument/2006/relationships/hyperlink" Target="https://www.youtube.com/watch?v=DMo3HJoawrU&amp;list=PLyqKj7LwU2RsCtKw3UlE85HYgPM3-xoO1&amp;index=23" TargetMode="External"/><Relationship Id="rId407" Type="http://schemas.openxmlformats.org/officeDocument/2006/relationships/hyperlink" Target="https://www.youtube.com/watch?v=jNihW0WDIL4&amp;list=PLyqKj7LwU2RtZnGDmtpyhDdvUHFvVyZnA&amp;index=12" TargetMode="External"/><Relationship Id="rId449" Type="http://schemas.openxmlformats.org/officeDocument/2006/relationships/hyperlink" Target="https://youtu.be/fQiMiUHWubw" TargetMode="External"/><Relationship Id="rId614" Type="http://schemas.openxmlformats.org/officeDocument/2006/relationships/hyperlink" Target="https://youtu.be/VsE1PIF_59w" TargetMode="External"/><Relationship Id="rId656" Type="http://schemas.openxmlformats.org/officeDocument/2006/relationships/hyperlink" Target="https://youtu.be/TG7fR02Efqo" TargetMode="External"/><Relationship Id="rId211" Type="http://schemas.openxmlformats.org/officeDocument/2006/relationships/hyperlink" Target="https://www.youtube.com/watch?v=nzTY7j9ocR8&amp;list=PLyqKj7LwU2Rv-tzrJev2STMTIGt_JeugT&amp;index=5" TargetMode="External"/><Relationship Id="rId253" Type="http://schemas.openxmlformats.org/officeDocument/2006/relationships/hyperlink" Target="https://www.youtube.com/watch?v=6FZHJGzMFEc&amp;list=PLyqKj7LwU2RsCtKw3UlE85HYgPM3-xoO1&amp;index=5" TargetMode="External"/><Relationship Id="rId295" Type="http://schemas.openxmlformats.org/officeDocument/2006/relationships/hyperlink" Target="https://www.youtube.com/watch?v=1lrjpLuXH4w&amp;list=PLyqKj7LwU2RtMd8vP3NEoig1RPJQK78Ea&amp;index=10" TargetMode="External"/><Relationship Id="rId309" Type="http://schemas.openxmlformats.org/officeDocument/2006/relationships/hyperlink" Target="https://www.youtube.com/watch?v=d9daNDIXtK8&amp;list=PLyqKj7LwU2RvynkwL93EcfuPUaDrWNOEc&amp;index=1" TargetMode="External"/><Relationship Id="rId460" Type="http://schemas.openxmlformats.org/officeDocument/2006/relationships/hyperlink" Target="https://youtu.be/rONpWaNIhE8" TargetMode="External"/><Relationship Id="rId516" Type="http://schemas.openxmlformats.org/officeDocument/2006/relationships/hyperlink" Target="https://youtu.be/MKmrqcoCZ-M" TargetMode="External"/><Relationship Id="rId698" Type="http://schemas.openxmlformats.org/officeDocument/2006/relationships/table" Target="../tables/table5.xml"/><Relationship Id="rId48" Type="http://schemas.openxmlformats.org/officeDocument/2006/relationships/hyperlink" Target="https://www.youtube.com/watch?v=34gVHrkaiz0&amp;list=PLyqKj7LwU2Rv-tzrJev2STMTIGt_JeugT&amp;index=1" TargetMode="External"/><Relationship Id="rId113" Type="http://schemas.openxmlformats.org/officeDocument/2006/relationships/hyperlink" Target="https://www.youtube.com/watch?v=fuK3nFvwgXk&amp;list=PLyqKj7LwU2Rt1cwOsHwdXa2TiRzjA6uoB&amp;index=6" TargetMode="External"/><Relationship Id="rId320" Type="http://schemas.openxmlformats.org/officeDocument/2006/relationships/hyperlink" Target="https://www.youtube.com/watch?v=i7J5h7BJ07g&amp;list=PLyqKj7LwU2RuAg-us4mzap6izNcc1fuRW&amp;index=5" TargetMode="External"/><Relationship Id="rId558" Type="http://schemas.openxmlformats.org/officeDocument/2006/relationships/hyperlink" Target="https://youtu.be/_1KvfgURbpE" TargetMode="External"/><Relationship Id="rId723" Type="http://schemas.openxmlformats.org/officeDocument/2006/relationships/table" Target="../tables/table30.xml"/><Relationship Id="rId155" Type="http://schemas.openxmlformats.org/officeDocument/2006/relationships/hyperlink" Target="https://www.youtube.com/watch?v=6GMKPQVERzw&amp;list=PLyqKj7LwU2RvTgEW_QlCCjtIL5d_KP_-I&amp;index=6" TargetMode="External"/><Relationship Id="rId197" Type="http://schemas.openxmlformats.org/officeDocument/2006/relationships/hyperlink" Target="https://www.youtube.com/watch?v=_ikCPws1mbE&amp;list=PLyqKj7LwU2RtjiVutSXk5uC2h7KVMu1Az&amp;index=1" TargetMode="External"/><Relationship Id="rId362" Type="http://schemas.openxmlformats.org/officeDocument/2006/relationships/hyperlink" Target="https://www.youtube.com/watch?v=jPjhQ2hsAds&amp;list=PLyqKj7LwU2RtMd8vP3NEoig1RPJQK78Ea&amp;index=8" TargetMode="External"/><Relationship Id="rId418" Type="http://schemas.openxmlformats.org/officeDocument/2006/relationships/hyperlink" Target="https://www.youtube.com/watch?v=aTYlqC_JacQ&amp;list=PLyqKj7LwU2Rt1cwOsHwdXa2TiRzjA6uoB&amp;index=14" TargetMode="External"/><Relationship Id="rId625" Type="http://schemas.openxmlformats.org/officeDocument/2006/relationships/hyperlink" Target="https://youtu.be/8TS775tZvKQ" TargetMode="External"/><Relationship Id="rId222" Type="http://schemas.openxmlformats.org/officeDocument/2006/relationships/hyperlink" Target="https://www.youtube.com/watch?v=8urE8Z8AMQ4&amp;list=PLyqKj7LwU2RuyZwWCIiDHuFZGN11QW3Ff&amp;index=28" TargetMode="External"/><Relationship Id="rId264" Type="http://schemas.openxmlformats.org/officeDocument/2006/relationships/hyperlink" Target="https://www.youtube.com/watch?v=_FrrYQxA6kc&amp;list=PLyqKj7LwU2RsCtKw3UlE85HYgPM3-xoO1&amp;index=14" TargetMode="External"/><Relationship Id="rId471" Type="http://schemas.openxmlformats.org/officeDocument/2006/relationships/hyperlink" Target="https://youtu.be/CDW-DyUr6nk" TargetMode="External"/><Relationship Id="rId667" Type="http://schemas.openxmlformats.org/officeDocument/2006/relationships/hyperlink" Target="https://vimeo.com/208383186" TargetMode="External"/><Relationship Id="rId17" Type="http://schemas.openxmlformats.org/officeDocument/2006/relationships/hyperlink" Target="https://www.youtube.com/watch?v=pfSMst14EFk&amp;list=PLyqKj7LwU2RtZnGDmtpyhDdvUHFvVyZnA&amp;index=13" TargetMode="External"/><Relationship Id="rId59" Type="http://schemas.openxmlformats.org/officeDocument/2006/relationships/hyperlink" Target="https://www.youtube.com/watch?v=EeE3f4VWFDo&amp;list=PLyqKj7LwU2RuyZwWCIiDHuFZGN11QW3Ff&amp;index=33" TargetMode="External"/><Relationship Id="rId124" Type="http://schemas.openxmlformats.org/officeDocument/2006/relationships/hyperlink" Target="https://www.youtube.com/watch?v=yZ83t4mrPrI&amp;list=PLyqKj7LwU2RtMd8vP3NEoig1RPJQK78Ea&amp;index=2" TargetMode="External"/><Relationship Id="rId527" Type="http://schemas.openxmlformats.org/officeDocument/2006/relationships/hyperlink" Target="https://youtu.be/es2btc9aMv4" TargetMode="External"/><Relationship Id="rId569" Type="http://schemas.openxmlformats.org/officeDocument/2006/relationships/hyperlink" Target="https://youtu.be/38z0Ic1zY7Q" TargetMode="External"/><Relationship Id="rId734" Type="http://schemas.openxmlformats.org/officeDocument/2006/relationships/table" Target="../tables/table41.xml"/><Relationship Id="rId70" Type="http://schemas.openxmlformats.org/officeDocument/2006/relationships/hyperlink" Target="https://www.youtube.com/watch?v=8oR5hBwbIBc&amp;list=PLyqKj7LwU2RuyZwWCIiDHuFZGN11QW3Ff&amp;index=12" TargetMode="External"/><Relationship Id="rId166" Type="http://schemas.openxmlformats.org/officeDocument/2006/relationships/hyperlink" Target="https://www.youtube.com/watch?v=RD_A-Z15ER4&amp;list=PLyqKj7LwU2RvTgEW_QlCCjtIL5d_KP_-I&amp;index=1" TargetMode="External"/><Relationship Id="rId331" Type="http://schemas.openxmlformats.org/officeDocument/2006/relationships/hyperlink" Target="https://youtu.be/QOCn3_iOAro" TargetMode="External"/><Relationship Id="rId373" Type="http://schemas.openxmlformats.org/officeDocument/2006/relationships/hyperlink" Target="https://www.youtube.com/watch?v=tRXw8HQ7-oA&amp;list=PLyqKj7LwU2Rt1cwOsHwdXa2TiRzjA6uoB&amp;index=8" TargetMode="External"/><Relationship Id="rId429" Type="http://schemas.openxmlformats.org/officeDocument/2006/relationships/hyperlink" Target="https://www.youtube.com/watch?v=pjAewD4LxXs&amp;list=PLyqKj7LwU2RtZnGDmtpyhDdvUHFvVyZnA&amp;index=18" TargetMode="External"/><Relationship Id="rId580" Type="http://schemas.openxmlformats.org/officeDocument/2006/relationships/hyperlink" Target="https://youtu.be/aSJbKnDRIiQ" TargetMode="External"/><Relationship Id="rId636" Type="http://schemas.openxmlformats.org/officeDocument/2006/relationships/hyperlink" Target="https://youtu.be/AJwYT2gPLd0" TargetMode="External"/><Relationship Id="rId1" Type="http://schemas.openxmlformats.org/officeDocument/2006/relationships/hyperlink" Target="https://www.youtube.com/watch?v=yZmx_Ac3880&amp;list=PLyqKj7LwU2RuAg-us4mzap6izNcc1fuRW&amp;index=7" TargetMode="External"/><Relationship Id="rId233" Type="http://schemas.openxmlformats.org/officeDocument/2006/relationships/hyperlink" Target="https://www.youtube.com/watch?v=JFm8KbhjibM&amp;list=PLyqKj7LwU2RuyZwWCIiDHuFZGN11QW3Ff&amp;index=7" TargetMode="External"/><Relationship Id="rId440" Type="http://schemas.openxmlformats.org/officeDocument/2006/relationships/hyperlink" Target="https://www.youtube.com/watch?v=GRgWPT9XSQQ&amp;list=PLyqKj7LwU2RsCtKw3UlE85HYgPM3-xoO1&amp;index=31" TargetMode="External"/><Relationship Id="rId678" Type="http://schemas.openxmlformats.org/officeDocument/2006/relationships/hyperlink" Target="https://vimeo.com/518376227" TargetMode="External"/><Relationship Id="rId28" Type="http://schemas.openxmlformats.org/officeDocument/2006/relationships/hyperlink" Target="https://www.youtube.com/watch?v=N3awlEyTY98&amp;list=PLyqKj7LwU2RtQyn5wWMJbD0rCV-cSkiK3&amp;index=1" TargetMode="External"/><Relationship Id="rId275" Type="http://schemas.openxmlformats.org/officeDocument/2006/relationships/hyperlink" Target="https://www.youtube.com/watch?v=ke2shAeQ0O8&amp;list=PLyqKj7LwU2Rt1cwOsHwdXa2TiRzjA6uoB&amp;index=7" TargetMode="External"/><Relationship Id="rId300" Type="http://schemas.openxmlformats.org/officeDocument/2006/relationships/hyperlink" Target="https://www.youtube.com/watch?v=ktU2H0DDmwk&amp;list=PLyqKj7LwU2RtMd8vP3NEoig1RPJQK78Ea&amp;index=17" TargetMode="External"/><Relationship Id="rId482" Type="http://schemas.openxmlformats.org/officeDocument/2006/relationships/hyperlink" Target="https://youtu.be/xZ-L1DJbkho" TargetMode="External"/><Relationship Id="rId538" Type="http://schemas.openxmlformats.org/officeDocument/2006/relationships/hyperlink" Target="https://youtu.be/IWcyh3VlQ7I" TargetMode="External"/><Relationship Id="rId703" Type="http://schemas.openxmlformats.org/officeDocument/2006/relationships/table" Target="../tables/table10.xml"/><Relationship Id="rId745" Type="http://schemas.openxmlformats.org/officeDocument/2006/relationships/table" Target="../tables/table52.xml"/><Relationship Id="rId81" Type="http://schemas.openxmlformats.org/officeDocument/2006/relationships/hyperlink" Target="https://www.youtube.com/watch?v=YCKPD4BSD2E&amp;list=PLyqKj7LwU2RsCtKw3UlE85HYgPM3-xoO1&amp;index=30" TargetMode="External"/><Relationship Id="rId135" Type="http://schemas.openxmlformats.org/officeDocument/2006/relationships/hyperlink" Target="https://www.youtube.com/watch?v=ktU2H0DDmwk&amp;list=PLyqKj7LwU2RtMd8vP3NEoig1RPJQK78Ea&amp;index=17" TargetMode="External"/><Relationship Id="rId177" Type="http://schemas.openxmlformats.org/officeDocument/2006/relationships/hyperlink" Target="https://www.youtube.com/watch?v=pfSMst14EFk&amp;list=PLyqKj7LwU2RtZnGDmtpyhDdvUHFvVyZnA&amp;index=13" TargetMode="External"/><Relationship Id="rId342" Type="http://schemas.openxmlformats.org/officeDocument/2006/relationships/hyperlink" Target="https://www.youtube.com/watch?v=jNihW0WDIL4&amp;list=PLyqKj7LwU2RtZnGDmtpyhDdvUHFvVyZnA&amp;index=12" TargetMode="External"/><Relationship Id="rId384" Type="http://schemas.openxmlformats.org/officeDocument/2006/relationships/hyperlink" Target="https://www.youtube.com/watch?v=YQ2s_Y7g5Qk&amp;list=PLyqKj7LwU2RuyZwWCIiDHuFZGN11QW3Ff&amp;index=6" TargetMode="External"/><Relationship Id="rId591" Type="http://schemas.openxmlformats.org/officeDocument/2006/relationships/hyperlink" Target="https://youtu.be/M_dUNslNjBU" TargetMode="External"/><Relationship Id="rId605" Type="http://schemas.openxmlformats.org/officeDocument/2006/relationships/hyperlink" Target="https://youtu.be/FGcU1ufTxn0" TargetMode="External"/><Relationship Id="rId202" Type="http://schemas.openxmlformats.org/officeDocument/2006/relationships/hyperlink" Target="https://www.youtube.com/watch?v=um3VVzqunPU&amp;list=PLyqKj7LwU2RuNVJBl0CtfZdxQ99IhKCcu&amp;index=1" TargetMode="External"/><Relationship Id="rId244" Type="http://schemas.openxmlformats.org/officeDocument/2006/relationships/hyperlink" Target="https://www.youtube.com/watch?v=0tiC6RUZL8Y&amp;list=PLyqKj7LwU2RsCtKw3UlE85HYgPM3-xoO1&amp;index=4" TargetMode="External"/><Relationship Id="rId647" Type="http://schemas.openxmlformats.org/officeDocument/2006/relationships/hyperlink" Target="https://youtu.be/QOCn3_iOAro" TargetMode="External"/><Relationship Id="rId689" Type="http://schemas.openxmlformats.org/officeDocument/2006/relationships/hyperlink" Target="https://youtu.be/8NlYwPOJvHU" TargetMode="External"/><Relationship Id="rId39" Type="http://schemas.openxmlformats.org/officeDocument/2006/relationships/hyperlink" Target="https://www.youtube.com/watch?v=lq7eLC30b9w&amp;list=PLyqKj7LwU2RuNVJBl0CtfZdxQ99IhKCcu&amp;index=6" TargetMode="External"/><Relationship Id="rId286" Type="http://schemas.openxmlformats.org/officeDocument/2006/relationships/hyperlink" Target="https://www.youtube.com/watch?v=q5X9thiKofE&amp;list=PLyqKj7LwU2RtMd8vP3NEoig1RPJQK78Ea&amp;index=1" TargetMode="External"/><Relationship Id="rId451" Type="http://schemas.openxmlformats.org/officeDocument/2006/relationships/hyperlink" Target="https://youtu.be/-c39P9V64tU" TargetMode="External"/><Relationship Id="rId493" Type="http://schemas.openxmlformats.org/officeDocument/2006/relationships/hyperlink" Target="https://youtu.be/ITf-9c78wdM" TargetMode="External"/><Relationship Id="rId507" Type="http://schemas.openxmlformats.org/officeDocument/2006/relationships/hyperlink" Target="https://youtu.be/YCL7vtpeTI4" TargetMode="External"/><Relationship Id="rId549" Type="http://schemas.openxmlformats.org/officeDocument/2006/relationships/hyperlink" Target="https://youtu.be/WcHtt6zT3Go" TargetMode="External"/><Relationship Id="rId714" Type="http://schemas.openxmlformats.org/officeDocument/2006/relationships/table" Target="../tables/table21.xml"/><Relationship Id="rId50" Type="http://schemas.openxmlformats.org/officeDocument/2006/relationships/hyperlink" Target="https://www.youtube.com/watch?v=90cE3rCLtmo&amp;list=PLyqKj7LwU2Rv-tzrJev2STMTIGt_JeugT&amp;index=6" TargetMode="External"/><Relationship Id="rId104" Type="http://schemas.openxmlformats.org/officeDocument/2006/relationships/hyperlink" Target="https://www.youtube.com/watch?v=yuozln3CC94&amp;list=PLyqKj7LwU2Rt1cwOsHwdXa2TiRzjA6uoB&amp;index=4" TargetMode="External"/><Relationship Id="rId146" Type="http://schemas.openxmlformats.org/officeDocument/2006/relationships/hyperlink" Target="https://www.youtube.com/watch?v=2zaT3WAgZi0&amp;list=PLyqKj7LwU2RvynkwL93EcfuPUaDrWNOEc&amp;index=5" TargetMode="External"/><Relationship Id="rId188" Type="http://schemas.openxmlformats.org/officeDocument/2006/relationships/hyperlink" Target="https://www.youtube.com/watch?v=KxEYX_cuesM&amp;list=PLyqKj7LwU2RtQyn5wWMJbD0rCV-cSkiK3&amp;index=2" TargetMode="External"/><Relationship Id="rId311" Type="http://schemas.openxmlformats.org/officeDocument/2006/relationships/hyperlink" Target="https://www.youtube.com/watch?v=2zaT3WAgZi0&amp;list=PLyqKj7LwU2RvynkwL93EcfuPUaDrWNOEc&amp;index=5" TargetMode="External"/><Relationship Id="rId353" Type="http://schemas.openxmlformats.org/officeDocument/2006/relationships/hyperlink" Target="https://youtu.be/JHRQUogqGbY" TargetMode="External"/><Relationship Id="rId395" Type="http://schemas.openxmlformats.org/officeDocument/2006/relationships/hyperlink" Target="https://www.youtube.com/watch?v=tZUYS7X50so&amp;list=PLyqKj7LwU2RsCtKw3UlE85HYgPM3-xoO1&amp;index=12" TargetMode="External"/><Relationship Id="rId409" Type="http://schemas.openxmlformats.org/officeDocument/2006/relationships/hyperlink" Target="https://www.youtube.com/watch?v=SKf8wHlIFX0&amp;list=PLyqKj7LwU2RuNVJBl0CtfZdxQ99IhKCcu&amp;index=10" TargetMode="External"/><Relationship Id="rId560" Type="http://schemas.openxmlformats.org/officeDocument/2006/relationships/hyperlink" Target="https://vimeo.com/518377228" TargetMode="External"/><Relationship Id="rId92" Type="http://schemas.openxmlformats.org/officeDocument/2006/relationships/hyperlink" Target="https://www.youtube.com/watch?v=H260SUUyJBM&amp;list=PLyqKj7LwU2RsCtKw3UlE85HYgPM3-xoO1&amp;index=28" TargetMode="External"/><Relationship Id="rId213" Type="http://schemas.openxmlformats.org/officeDocument/2006/relationships/hyperlink" Target="https://www.youtube.com/watch?v=34gVHrkaiz0&amp;list=PLyqKj7LwU2Rv-tzrJev2STMTIGt_JeugT&amp;index=1" TargetMode="External"/><Relationship Id="rId420" Type="http://schemas.openxmlformats.org/officeDocument/2006/relationships/hyperlink" Target="https://www.youtube.com/watch?v=XOEL4MgekYE&amp;list=PLyqKj7LwU2Rt1cwOsHwdXa2TiRzjA6uoB&amp;index=13" TargetMode="External"/><Relationship Id="rId616" Type="http://schemas.openxmlformats.org/officeDocument/2006/relationships/hyperlink" Target="https://youtu.be/lKaUTcyXER0" TargetMode="External"/><Relationship Id="rId658" Type="http://schemas.openxmlformats.org/officeDocument/2006/relationships/hyperlink" Target="https://vimeo.com/208383153" TargetMode="External"/><Relationship Id="rId255" Type="http://schemas.openxmlformats.org/officeDocument/2006/relationships/hyperlink" Target="https://www.youtube.com/watch?v=0UBRfiO4zDs&amp;list=PLyqKj7LwU2RsCtKw3UlE85HYgPM3-xoO1&amp;index=8" TargetMode="External"/><Relationship Id="rId297" Type="http://schemas.openxmlformats.org/officeDocument/2006/relationships/hyperlink" Target="https://www.youtube.com/watch?v=Bx8ga1BLHLE&amp;list=PLyqKj7LwU2RtMd8vP3NEoig1RPJQK78Ea&amp;index=11" TargetMode="External"/><Relationship Id="rId462" Type="http://schemas.openxmlformats.org/officeDocument/2006/relationships/hyperlink" Target="https://youtu.be/8bbE64NuDTU" TargetMode="External"/><Relationship Id="rId518" Type="http://schemas.openxmlformats.org/officeDocument/2006/relationships/hyperlink" Target="https://youtu.be/a2dNtC17WRU" TargetMode="External"/><Relationship Id="rId725" Type="http://schemas.openxmlformats.org/officeDocument/2006/relationships/table" Target="../tables/table32.xml"/><Relationship Id="rId115" Type="http://schemas.openxmlformats.org/officeDocument/2006/relationships/hyperlink" Target="https://www.youtube.com/watch?v=sxA__DoLsgo&amp;list=PLyqKj7LwU2Rt1cwOsHwdXa2TiRzjA6uoB&amp;index=11" TargetMode="External"/><Relationship Id="rId157" Type="http://schemas.openxmlformats.org/officeDocument/2006/relationships/hyperlink" Target="https://www.youtube.com/watch?v=2wPpcJBe03o&amp;list=PLyqKj7LwU2RvQpfrgpWoyz-Jj2Xog_3Zx&amp;index=2" TargetMode="External"/><Relationship Id="rId322" Type="http://schemas.openxmlformats.org/officeDocument/2006/relationships/hyperlink" Target="https://www.youtube.com/watch?v=4eDJa5MnAmY&amp;list=PLyqKj7LwU2RtZnGDmtpyhDdvUHFvVyZnA&amp;index=15" TargetMode="External"/><Relationship Id="rId364" Type="http://schemas.openxmlformats.org/officeDocument/2006/relationships/hyperlink" Target="https://www.youtube.com/watch?v=HzIiNhHhhtA&amp;list=PLyqKj7LwU2RtjiVutSXk5uC2h7KVMu1Az&amp;index=7" TargetMode="External"/><Relationship Id="rId61" Type="http://schemas.openxmlformats.org/officeDocument/2006/relationships/hyperlink" Target="https://www.youtube.com/watch?v=O5viuEPDXKY&amp;list=PLyqKj7LwU2RuyZwWCIiDHuFZGN11QW3Ff&amp;index=27" TargetMode="External"/><Relationship Id="rId199" Type="http://schemas.openxmlformats.org/officeDocument/2006/relationships/hyperlink" Target="https://www.youtube.com/watch?v=hRJ6tR5-if0&amp;list=PLyqKj7LwU2RtjiVutSXk5uC2h7KVMu1Az&amp;index=3" TargetMode="External"/><Relationship Id="rId571" Type="http://schemas.openxmlformats.org/officeDocument/2006/relationships/hyperlink" Target="https://youtu.be/Z_cFkKqCiUE" TargetMode="External"/><Relationship Id="rId627" Type="http://schemas.openxmlformats.org/officeDocument/2006/relationships/hyperlink" Target="https://youtu.be/KlTEgg1yv8M" TargetMode="External"/><Relationship Id="rId669" Type="http://schemas.openxmlformats.org/officeDocument/2006/relationships/hyperlink" Target="https://vimeo.com/208383079" TargetMode="External"/><Relationship Id="rId19" Type="http://schemas.openxmlformats.org/officeDocument/2006/relationships/hyperlink" Target="https://www.youtube.com/watch?v=ZSPmIyX9RZs&amp;list=PLyqKj7LwU2RtZnGDmtpyhDdvUHFvVyZnA&amp;index=9" TargetMode="External"/><Relationship Id="rId224" Type="http://schemas.openxmlformats.org/officeDocument/2006/relationships/hyperlink" Target="https://www.youtube.com/watch?v=EeE3f4VWFDo&amp;list=PLyqKj7LwU2RuyZwWCIiDHuFZGN11QW3Ff&amp;index=33" TargetMode="External"/><Relationship Id="rId266" Type="http://schemas.openxmlformats.org/officeDocument/2006/relationships/hyperlink" Target="https://www.youtube.com/watch?v=yPis7nlbqdY&amp;list=PLyqKj7LwU2RsCtKw3UlE85HYgPM3-xoO1&amp;index=27" TargetMode="External"/><Relationship Id="rId431" Type="http://schemas.openxmlformats.org/officeDocument/2006/relationships/hyperlink" Target="https://www.youtube.com/watch?v=2wPpcJBe03o&amp;list=PLyqKj7LwU2RvQpfrgpWoyz-Jj2Xog_3Zx&amp;index=2" TargetMode="External"/><Relationship Id="rId473" Type="http://schemas.openxmlformats.org/officeDocument/2006/relationships/hyperlink" Target="https://youtu.be/QqyKKd3dXGk" TargetMode="External"/><Relationship Id="rId529" Type="http://schemas.openxmlformats.org/officeDocument/2006/relationships/hyperlink" Target="https://youtu.be/lplTnpym5jg" TargetMode="External"/><Relationship Id="rId680" Type="http://schemas.openxmlformats.org/officeDocument/2006/relationships/hyperlink" Target="https://youtu.be/lJJEkmU_f3c" TargetMode="External"/><Relationship Id="rId736" Type="http://schemas.openxmlformats.org/officeDocument/2006/relationships/table" Target="../tables/table43.xml"/><Relationship Id="rId30" Type="http://schemas.openxmlformats.org/officeDocument/2006/relationships/hyperlink" Target="https://www.youtube.com/watch?v=KxEYX_cuesM&amp;list=PLyqKj7LwU2RtQyn5wWMJbD0rCV-cSkiK3&amp;index=2" TargetMode="External"/><Relationship Id="rId126" Type="http://schemas.openxmlformats.org/officeDocument/2006/relationships/hyperlink" Target="https://www.youtube.com/watch?v=6Fzep104f0s&amp;list=PLyqKj7LwU2RtMd8vP3NEoig1RPJQK78Ea&amp;index=6" TargetMode="External"/><Relationship Id="rId168" Type="http://schemas.openxmlformats.org/officeDocument/2006/relationships/hyperlink" Target="https://www.youtube.com/watch?v=6GMKPQVERzw&amp;list=PLyqKj7LwU2RvTgEW_QlCCjtIL5d_KP_-I&amp;index=6" TargetMode="External"/><Relationship Id="rId333" Type="http://schemas.openxmlformats.org/officeDocument/2006/relationships/hyperlink" Target="https://youtu.be/u8lo0lGPC6k" TargetMode="External"/><Relationship Id="rId540" Type="http://schemas.openxmlformats.org/officeDocument/2006/relationships/hyperlink" Target="https://vimeo.com/518376070" TargetMode="External"/><Relationship Id="rId72" Type="http://schemas.openxmlformats.org/officeDocument/2006/relationships/hyperlink" Target="https://www.youtube.com/watch?v=Cj6P91eFXkM&amp;list=PLyqKj7LwU2RuyZwWCIiDHuFZGN11QW3Ff&amp;index=2" TargetMode="External"/><Relationship Id="rId375" Type="http://schemas.openxmlformats.org/officeDocument/2006/relationships/hyperlink" Target="https://www.youtube.com/watch?v=BIOM5eSsJ_8&amp;list=PLyqKj7LwU2RvTgEW_QlCCjtIL5d_KP_-I&amp;index=8" TargetMode="External"/><Relationship Id="rId582" Type="http://schemas.openxmlformats.org/officeDocument/2006/relationships/hyperlink" Target="https://youtu.be/3KKVWOATE-Q" TargetMode="External"/><Relationship Id="rId638" Type="http://schemas.openxmlformats.org/officeDocument/2006/relationships/hyperlink" Target="https://youtu.be/5f3Ff_XhiAc" TargetMode="External"/><Relationship Id="rId3" Type="http://schemas.openxmlformats.org/officeDocument/2006/relationships/hyperlink" Target="https://www.youtube.com/watch?v=HHxNbhP16UE&amp;list=PLyqKj7LwU2RuAg-us4mzap6izNcc1fuRW&amp;index=3" TargetMode="External"/><Relationship Id="rId235" Type="http://schemas.openxmlformats.org/officeDocument/2006/relationships/hyperlink" Target="https://www.youtube.com/watch?v=8oR5hBwbIBc&amp;list=PLyqKj7LwU2RuyZwWCIiDHuFZGN11QW3Ff&amp;index=12" TargetMode="External"/><Relationship Id="rId277" Type="http://schemas.openxmlformats.org/officeDocument/2006/relationships/hyperlink" Target="https://www.youtube.com/watch?v=iixND1P2lik&amp;list=PLyqKj7LwU2Rt1cwOsHwdXa2TiRzjA6uoB&amp;index=1" TargetMode="External"/><Relationship Id="rId400" Type="http://schemas.openxmlformats.org/officeDocument/2006/relationships/hyperlink" Target="https://www.youtube.com/watch?v=5z7ZtboxbBY&amp;list=PLyqKj7LwU2RvynkwL93EcfuPUaDrWNOEc&amp;index=7" TargetMode="External"/><Relationship Id="rId442" Type="http://schemas.openxmlformats.org/officeDocument/2006/relationships/hyperlink" Target="https://www.youtube.com/watch?v=DMo3HJoawrU&amp;list=PLyqKj7LwU2RsCtKw3UlE85HYgPM3-xoO1&amp;index=23" TargetMode="External"/><Relationship Id="rId484" Type="http://schemas.openxmlformats.org/officeDocument/2006/relationships/hyperlink" Target="https://youtu.be/7SLT2N8s3S0" TargetMode="External"/><Relationship Id="rId705" Type="http://schemas.openxmlformats.org/officeDocument/2006/relationships/table" Target="../tables/table12.xml"/><Relationship Id="rId137" Type="http://schemas.openxmlformats.org/officeDocument/2006/relationships/hyperlink" Target="https://www.youtube.com/watch?v=cT5_GyOXIgE" TargetMode="External"/><Relationship Id="rId302" Type="http://schemas.openxmlformats.org/officeDocument/2006/relationships/hyperlink" Target="https://www.youtube.com/watch?v=cT5_GyOXIgE" TargetMode="External"/><Relationship Id="rId344" Type="http://schemas.openxmlformats.org/officeDocument/2006/relationships/hyperlink" Target="https://youtu.be/WcHtt6zT3Go" TargetMode="External"/><Relationship Id="rId691" Type="http://schemas.openxmlformats.org/officeDocument/2006/relationships/hyperlink" Target="https://youtu.be/hsHWPGOE4V0" TargetMode="External"/><Relationship Id="rId41" Type="http://schemas.openxmlformats.org/officeDocument/2006/relationships/hyperlink" Target="https://www.youtube.com/watch?v=2OMbdPF7mz4&amp;list=PLyqKj7LwU2RuNVJBl0CtfZdxQ99IhKCcu&amp;index=2" TargetMode="External"/><Relationship Id="rId83" Type="http://schemas.openxmlformats.org/officeDocument/2006/relationships/hyperlink" Target="https://www.youtube.com/watch?v=G9uNaXGTJ4w&amp;list=PLyqKj7LwU2RsCtKw3UlE85HYgPM3-xoO1&amp;index=25" TargetMode="External"/><Relationship Id="rId179" Type="http://schemas.openxmlformats.org/officeDocument/2006/relationships/hyperlink" Target="https://www.youtube.com/watch?v=ZSPmIyX9RZs&amp;list=PLyqKj7LwU2RtZnGDmtpyhDdvUHFvVyZnA&amp;index=9" TargetMode="External"/><Relationship Id="rId386" Type="http://schemas.openxmlformats.org/officeDocument/2006/relationships/hyperlink" Target="https://www.youtube.com/watch?v=mm6_WcoCVTA&amp;list=PLyqKj7LwU2RuyZwWCIiDHuFZGN11QW3Ff&amp;index=26" TargetMode="External"/><Relationship Id="rId551" Type="http://schemas.openxmlformats.org/officeDocument/2006/relationships/hyperlink" Target="https://youtu.be/O7dVvwEK9J4" TargetMode="External"/><Relationship Id="rId593" Type="http://schemas.openxmlformats.org/officeDocument/2006/relationships/hyperlink" Target="https://youtu.be/-dwKh9QzoKc" TargetMode="External"/><Relationship Id="rId607" Type="http://schemas.openxmlformats.org/officeDocument/2006/relationships/hyperlink" Target="https://youtu.be/B9uVa1PHGvM" TargetMode="External"/><Relationship Id="rId649" Type="http://schemas.openxmlformats.org/officeDocument/2006/relationships/hyperlink" Target="https://vimeo.com/172361603" TargetMode="External"/><Relationship Id="rId190" Type="http://schemas.openxmlformats.org/officeDocument/2006/relationships/hyperlink" Target="https://www.youtube.com/watch?v=_gEx2ijsmNM&amp;list=PLyqKj7LwU2RtQyn5wWMJbD0rCV-cSkiK3&amp;index=3" TargetMode="External"/><Relationship Id="rId204" Type="http://schemas.openxmlformats.org/officeDocument/2006/relationships/hyperlink" Target="https://www.youtube.com/watch?v=lq7eLC30b9w&amp;list=PLyqKj7LwU2RuNVJBl0CtfZdxQ99IhKCcu&amp;index=6" TargetMode="External"/><Relationship Id="rId246" Type="http://schemas.openxmlformats.org/officeDocument/2006/relationships/hyperlink" Target="https://www.youtube.com/watch?v=YCKPD4BSD2E&amp;list=PLyqKj7LwU2RsCtKw3UlE85HYgPM3-xoO1&amp;index=30" TargetMode="External"/><Relationship Id="rId288" Type="http://schemas.openxmlformats.org/officeDocument/2006/relationships/hyperlink" Target="https://www.youtube.com/watch?v=4LA1kF7yCGo&amp;list=PLyqKj7LwU2RtMd8vP3NEoig1RPJQK78Ea&amp;index=7" TargetMode="External"/><Relationship Id="rId411" Type="http://schemas.openxmlformats.org/officeDocument/2006/relationships/hyperlink" Target="https://www.youtube.com/watch?v=jPjhQ2hsAds&amp;list=PLyqKj7LwU2RtMd8vP3NEoig1RPJQK78Ea&amp;index=8" TargetMode="External"/><Relationship Id="rId453" Type="http://schemas.openxmlformats.org/officeDocument/2006/relationships/hyperlink" Target="https://vimeo.com/427681792" TargetMode="External"/><Relationship Id="rId509" Type="http://schemas.openxmlformats.org/officeDocument/2006/relationships/hyperlink" Target="https://youtu.be/7PBGoEqcgc8" TargetMode="External"/><Relationship Id="rId660" Type="http://schemas.openxmlformats.org/officeDocument/2006/relationships/hyperlink" Target="https://vimeo.com/366347958" TargetMode="External"/><Relationship Id="rId106" Type="http://schemas.openxmlformats.org/officeDocument/2006/relationships/hyperlink" Target="https://www.youtube.com/watch?v=cdmnvo3augg&amp;list=PLyqKj7LwU2Rt1cwOsHwdXa2TiRzjA6uoB&amp;index=9" TargetMode="External"/><Relationship Id="rId313" Type="http://schemas.openxmlformats.org/officeDocument/2006/relationships/hyperlink" Target="https://www.youtube.com/watch?v=WVAaKJvToe0&amp;list=PLyqKj7LwU2RvQpfrgpWoyz-Jj2Xog_3Zx&amp;index=1" TargetMode="External"/><Relationship Id="rId495" Type="http://schemas.openxmlformats.org/officeDocument/2006/relationships/hyperlink" Target="https://youtu.be/lsjonJduQfY" TargetMode="External"/><Relationship Id="rId716" Type="http://schemas.openxmlformats.org/officeDocument/2006/relationships/table" Target="../tables/table23.xml"/><Relationship Id="rId10" Type="http://schemas.openxmlformats.org/officeDocument/2006/relationships/hyperlink" Target="https://www.youtube.com/watch?v=dEJ0FTm-CEk&amp;list=PLyqKj7LwU2Rvx_O313dzJNFKPiEqRMWiV&amp;index=4" TargetMode="External"/><Relationship Id="rId52" Type="http://schemas.openxmlformats.org/officeDocument/2006/relationships/hyperlink" Target="https://www.youtube.com/watch?v=qz1OLup4W_M&amp;list=PLyqKj7LwU2Rv-tzrJev2STMTIGt_JeugT&amp;index=4" TargetMode="External"/><Relationship Id="rId94" Type="http://schemas.openxmlformats.org/officeDocument/2006/relationships/hyperlink" Target="https://www.youtube.com/watch?v=jQjWlIwG4sI&amp;list=PLyqKj7LwU2RsCtKw3UlE85HYgPM3-xoO1&amp;index=9" TargetMode="External"/><Relationship Id="rId148" Type="http://schemas.openxmlformats.org/officeDocument/2006/relationships/hyperlink" Target="https://www.youtube.com/watch?v=-OUSBPnHvsQ&amp;list=PLyqKj7LwU2RvTgEW_QlCCjtIL5d_KP_-I&amp;index=3" TargetMode="External"/><Relationship Id="rId355" Type="http://schemas.openxmlformats.org/officeDocument/2006/relationships/hyperlink" Target="https://www.youtube.com/watch?v=D-c2CWwEweo&amp;list=PLyqKj7LwU2RtZnGDmtpyhDdvUHFvVyZnA&amp;index=17" TargetMode="External"/><Relationship Id="rId397" Type="http://schemas.openxmlformats.org/officeDocument/2006/relationships/hyperlink" Target="https://www.youtube.com/watch?v=_t3lrPI6Ns4&amp;list=PLyqKj7LwU2RvynkwL93EcfuPUaDrWNOEc&amp;index=9" TargetMode="External"/><Relationship Id="rId520" Type="http://schemas.openxmlformats.org/officeDocument/2006/relationships/hyperlink" Target="https://youtu.be/a2dNtC17WRU" TargetMode="External"/><Relationship Id="rId562" Type="http://schemas.openxmlformats.org/officeDocument/2006/relationships/hyperlink" Target="https://youtu.be/GwiTejyALwc" TargetMode="External"/><Relationship Id="rId618" Type="http://schemas.openxmlformats.org/officeDocument/2006/relationships/hyperlink" Target="https://youtu.be/bcVKR_IPz4U" TargetMode="External"/><Relationship Id="rId215" Type="http://schemas.openxmlformats.org/officeDocument/2006/relationships/hyperlink" Target="https://www.youtube.com/watch?v=90cE3rCLtmo&amp;list=PLyqKj7LwU2Rv-tzrJev2STMTIGt_JeugT&amp;index=6" TargetMode="External"/><Relationship Id="rId257" Type="http://schemas.openxmlformats.org/officeDocument/2006/relationships/hyperlink" Target="https://www.youtube.com/watch?v=H260SUUyJBM&amp;list=PLyqKj7LwU2RsCtKw3UlE85HYgPM3-xoO1&amp;index=28" TargetMode="External"/><Relationship Id="rId422" Type="http://schemas.openxmlformats.org/officeDocument/2006/relationships/hyperlink" Target="https://www.youtube.com/watch?v=tRXw8HQ7-oA&amp;list=PLyqKj7LwU2Rt1cwOsHwdXa2TiRzjA6uoB&amp;index=8" TargetMode="External"/><Relationship Id="rId464" Type="http://schemas.openxmlformats.org/officeDocument/2006/relationships/hyperlink" Target="https://youtu.be/a8f-c31u2GA" TargetMode="External"/><Relationship Id="rId299" Type="http://schemas.openxmlformats.org/officeDocument/2006/relationships/hyperlink" Target="https://www.youtube.com/watch?v=Tih5iHyELsE&amp;list=PLyqKj7LwU2RtMd8vP3NEoig1RPJQK78Ea&amp;index=16" TargetMode="External"/><Relationship Id="rId727" Type="http://schemas.openxmlformats.org/officeDocument/2006/relationships/table" Target="../tables/table34.xml"/><Relationship Id="rId63" Type="http://schemas.openxmlformats.org/officeDocument/2006/relationships/hyperlink" Target="https://www.youtube.com/watch?v=mm6_WcoCVTA&amp;list=PLyqKj7LwU2RuyZwWCIiDHuFZGN11QW3Ff&amp;index=26" TargetMode="External"/><Relationship Id="rId159" Type="http://schemas.openxmlformats.org/officeDocument/2006/relationships/hyperlink" Target="https://www.youtube.com/watch?v=lfQR7oVS8eo&amp;list=PLyqKj7LwU2RvQpfrgpWoyz-Jj2Xog_3Zx&amp;index=4" TargetMode="External"/><Relationship Id="rId366" Type="http://schemas.openxmlformats.org/officeDocument/2006/relationships/hyperlink" Target="https://www.youtube.com/watch?v=nzTY7j9ocR8&amp;list=PLyqKj7LwU2Rv-tzrJev2STMTIGt_JeugT&amp;index=5" TargetMode="External"/><Relationship Id="rId573" Type="http://schemas.openxmlformats.org/officeDocument/2006/relationships/hyperlink" Target="https://youtu.be/fQiMiUHWubw" TargetMode="External"/><Relationship Id="rId226" Type="http://schemas.openxmlformats.org/officeDocument/2006/relationships/hyperlink" Target="https://www.youtube.com/watch?v=O5viuEPDXKY&amp;list=PLyqKj7LwU2RuyZwWCIiDHuFZGN11QW3Ff&amp;index=27" TargetMode="External"/><Relationship Id="rId433" Type="http://schemas.openxmlformats.org/officeDocument/2006/relationships/hyperlink" Target="https://www.youtube.com/watch?v=JFm8KbhjibM&amp;list=PLyqKj7LwU2RuyZwWCIiDHuFZGN11QW3Ff&amp;index=7" TargetMode="External"/><Relationship Id="rId640" Type="http://schemas.openxmlformats.org/officeDocument/2006/relationships/hyperlink" Target="https://youtu.be/MKmrqcoCZ-M" TargetMode="External"/><Relationship Id="rId738" Type="http://schemas.openxmlformats.org/officeDocument/2006/relationships/table" Target="../tables/table45.xml"/><Relationship Id="rId74" Type="http://schemas.openxmlformats.org/officeDocument/2006/relationships/hyperlink" Target="https://www.youtube.com/watch?v=9JC1EwqezGY&amp;list=PLyqKj7LwU2RsCtKw3UlE85HYgPM3-xoO1&amp;index=32" TargetMode="External"/><Relationship Id="rId377" Type="http://schemas.openxmlformats.org/officeDocument/2006/relationships/hyperlink" Target="https://www.youtube.com/watch?v=RD_A-Z15ER4&amp;list=PLyqKj7LwU2RvTgEW_QlCCjtIL5d_KP_-I&amp;index=1" TargetMode="External"/><Relationship Id="rId500" Type="http://schemas.openxmlformats.org/officeDocument/2006/relationships/hyperlink" Target="https://youtu.be/TVTP8Q1T3K8" TargetMode="External"/><Relationship Id="rId584" Type="http://schemas.openxmlformats.org/officeDocument/2006/relationships/hyperlink" Target="https://youtu.be/rONpWaNIhE8" TargetMode="External"/><Relationship Id="rId5" Type="http://schemas.openxmlformats.org/officeDocument/2006/relationships/hyperlink" Target="https://www.youtube.com/watch?v=-eO_VydErV0&amp;list=PLyqKj7LwU2RuAg-us4mzap6izNcc1fuRW" TargetMode="External"/><Relationship Id="rId237" Type="http://schemas.openxmlformats.org/officeDocument/2006/relationships/hyperlink" Target="https://www.youtube.com/watch?v=Cj6P91eFXkM&amp;list=PLyqKj7LwU2RuyZwWCIiDHuFZGN11QW3Ff&amp;index=2" TargetMode="External"/><Relationship Id="rId444" Type="http://schemas.openxmlformats.org/officeDocument/2006/relationships/hyperlink" Target="https://www.youtube.com/watch?v=tZUYS7X50so&amp;list=PLyqKj7LwU2RsCtKw3UlE85HYgPM3-xoO1&amp;index=12" TargetMode="External"/><Relationship Id="rId651" Type="http://schemas.openxmlformats.org/officeDocument/2006/relationships/hyperlink" Target="https://youtu.be/es2btc9aMv4" TargetMode="External"/><Relationship Id="rId290" Type="http://schemas.openxmlformats.org/officeDocument/2006/relationships/hyperlink" Target="https://www.youtube.com/watch?v=-xa-6cQaZKY&amp;list=PLyqKj7LwU2RtMd8vP3NEoig1RPJQK78Ea&amp;index=14" TargetMode="External"/><Relationship Id="rId304" Type="http://schemas.openxmlformats.org/officeDocument/2006/relationships/hyperlink" Target="https://www.youtube.com/watch?v=5z7ZtboxbBY&amp;list=PLyqKj7LwU2RvynkwL93EcfuPUaDrWNOEc&amp;index=7" TargetMode="External"/><Relationship Id="rId388" Type="http://schemas.openxmlformats.org/officeDocument/2006/relationships/hyperlink" Target="https://www.youtube.com/watch?v=JFm8KbhjibM&amp;list=PLyqKj7LwU2RuyZwWCIiDHuFZGN11QW3Ff&amp;index=7" TargetMode="External"/><Relationship Id="rId511" Type="http://schemas.openxmlformats.org/officeDocument/2006/relationships/hyperlink" Target="https://youtu.be/vZY3NV-bZqo" TargetMode="External"/><Relationship Id="rId609" Type="http://schemas.openxmlformats.org/officeDocument/2006/relationships/hyperlink" Target="https://youtu.be/RAds7xQE8BE" TargetMode="External"/><Relationship Id="rId85" Type="http://schemas.openxmlformats.org/officeDocument/2006/relationships/hyperlink" Target="https://www.youtube.com/watch?v=iWpoegdfgtc&amp;list=PLyqKj7LwU2RsCtKw3UlE85HYgPM3-xoO1&amp;index=17" TargetMode="External"/><Relationship Id="rId150" Type="http://schemas.openxmlformats.org/officeDocument/2006/relationships/hyperlink" Target="https://www.youtube.com/watch?v=pXg8qppif7I&amp;list=PLyqKj7LwU2RvTgEW_QlCCjtIL5d_KP_-I&amp;index=5" TargetMode="External"/><Relationship Id="rId595" Type="http://schemas.openxmlformats.org/officeDocument/2006/relationships/hyperlink" Target="https://youtu.be/CDW-DyUr6nk" TargetMode="External"/><Relationship Id="rId248" Type="http://schemas.openxmlformats.org/officeDocument/2006/relationships/hyperlink" Target="https://www.youtube.com/watch?v=G9uNaXGTJ4w&amp;list=PLyqKj7LwU2RsCtKw3UlE85HYgPM3-xoO1&amp;index=25" TargetMode="External"/><Relationship Id="rId455" Type="http://schemas.openxmlformats.org/officeDocument/2006/relationships/hyperlink" Target="https://youtu.be/Khgyyrd_ig0" TargetMode="External"/><Relationship Id="rId662" Type="http://schemas.openxmlformats.org/officeDocument/2006/relationships/hyperlink" Target="https://youtu.be/IWcyh3VlQ7I" TargetMode="External"/><Relationship Id="rId12" Type="http://schemas.openxmlformats.org/officeDocument/2006/relationships/hyperlink" Target="https://www.youtube.com/watch?v=cYKYGwcg0U8&amp;list=PLyqKj7LwU2Rvx_O313dzJNFKPiEqRMWiV&amp;index=2" TargetMode="External"/><Relationship Id="rId108" Type="http://schemas.openxmlformats.org/officeDocument/2006/relationships/hyperlink" Target="https://www.youtube.com/watch?v=840rgLSw-84" TargetMode="External"/><Relationship Id="rId315" Type="http://schemas.openxmlformats.org/officeDocument/2006/relationships/hyperlink" Target="https://www.youtube.com/watch?v=iQ4JjOK73PE&amp;list=PLyqKj7LwU2RvQpfrgpWoyz-Jj2Xog_3Zx&amp;index=3" TargetMode="External"/><Relationship Id="rId522" Type="http://schemas.openxmlformats.org/officeDocument/2006/relationships/hyperlink" Target="https://youtu.be/CWOZyf8kaH0" TargetMode="External"/><Relationship Id="rId96" Type="http://schemas.openxmlformats.org/officeDocument/2006/relationships/hyperlink" Target="https://www.youtube.com/watch?v=opjbouBmUWg&amp;list=PLyqKj7LwU2RsCtKw3UlE85HYgPM3-xoO1&amp;index=11" TargetMode="External"/><Relationship Id="rId161" Type="http://schemas.openxmlformats.org/officeDocument/2006/relationships/hyperlink" Target="https://www.youtube.com/watch?v=-OUSBPnHvsQ&amp;list=PLyqKj7LwU2RvTgEW_QlCCjtIL5d_KP_-I&amp;index=3" TargetMode="External"/><Relationship Id="rId399" Type="http://schemas.openxmlformats.org/officeDocument/2006/relationships/hyperlink" Target="https://www.youtube.com/watch?v=zgToz5FiI-E&amp;list=PLyqKj7LwU2RvynkwL93EcfuPUaDrWNOEc&amp;index=10" TargetMode="External"/><Relationship Id="rId259" Type="http://schemas.openxmlformats.org/officeDocument/2006/relationships/hyperlink" Target="https://www.youtube.com/watch?v=jQjWlIwG4sI&amp;list=PLyqKj7LwU2RsCtKw3UlE85HYgPM3-xoO1&amp;index=9" TargetMode="External"/><Relationship Id="rId466" Type="http://schemas.openxmlformats.org/officeDocument/2006/relationships/hyperlink" Target="https://youtu.be/wklohZsolc4" TargetMode="External"/><Relationship Id="rId673" Type="http://schemas.openxmlformats.org/officeDocument/2006/relationships/hyperlink" Target="https://youtu.be/WcHtt6zT3Go" TargetMode="External"/><Relationship Id="rId23" Type="http://schemas.openxmlformats.org/officeDocument/2006/relationships/hyperlink" Target="https://www.youtube.com/watch?v=TQfhY5oJ_Sc&amp;list=PLyqKj7LwU2RtZnGDmtpyhDdvUHFvVyZnA&amp;index=10" TargetMode="External"/><Relationship Id="rId119" Type="http://schemas.openxmlformats.org/officeDocument/2006/relationships/hyperlink" Target="https://www.youtube.com/watch?v=gcRZqG8t44c&amp;list=PLyqKj7LwU2RtMd8vP3NEoig1RPJQK78Ea&amp;index=15" TargetMode="External"/><Relationship Id="rId326" Type="http://schemas.openxmlformats.org/officeDocument/2006/relationships/hyperlink" Target="https://youtu.be/a2dNtC17WRU" TargetMode="External"/><Relationship Id="rId533" Type="http://schemas.openxmlformats.org/officeDocument/2006/relationships/hyperlink" Target="https://youtu.be/9_fkz2Yvdd0" TargetMode="External"/><Relationship Id="rId740" Type="http://schemas.openxmlformats.org/officeDocument/2006/relationships/table" Target="../tables/table47.xml"/><Relationship Id="rId172" Type="http://schemas.openxmlformats.org/officeDocument/2006/relationships/hyperlink" Target="https://www.youtube.com/watch?v=5_ejbGfdAQE&amp;list=PLyqKj7LwU2Rvx_O313dzJNFKPiEqRMWiV&amp;index=1" TargetMode="External"/><Relationship Id="rId477" Type="http://schemas.openxmlformats.org/officeDocument/2006/relationships/hyperlink" Target="https://youtu.be/5V4qrxlVhLw" TargetMode="External"/><Relationship Id="rId600" Type="http://schemas.openxmlformats.org/officeDocument/2006/relationships/hyperlink" Target="https://youtu.be/DxdJmHo6opQ" TargetMode="External"/><Relationship Id="rId684" Type="http://schemas.openxmlformats.org/officeDocument/2006/relationships/hyperlink" Target="https://youtu.be/yIF-3TG1wgM" TargetMode="External"/><Relationship Id="rId337" Type="http://schemas.openxmlformats.org/officeDocument/2006/relationships/hyperlink" Target="https://youtu.be/l4kQd9eWclE" TargetMode="External"/><Relationship Id="rId34" Type="http://schemas.openxmlformats.org/officeDocument/2006/relationships/hyperlink" Target="https://www.youtube.com/watch?v=WvLMauqrnK8&amp;list=PLyqKj7LwU2RtjiVutSXk5uC2h7KVMu1Az&amp;index=5" TargetMode="External"/><Relationship Id="rId544" Type="http://schemas.openxmlformats.org/officeDocument/2006/relationships/hyperlink" Target="https://vimeo.com/208383171" TargetMode="External"/><Relationship Id="rId183" Type="http://schemas.openxmlformats.org/officeDocument/2006/relationships/hyperlink" Target="https://www.youtube.com/watch?v=TQfhY5oJ_Sc&amp;list=PLyqKj7LwU2RtZnGDmtpyhDdvUHFvVyZnA&amp;index=10" TargetMode="External"/><Relationship Id="rId390" Type="http://schemas.openxmlformats.org/officeDocument/2006/relationships/hyperlink" Target="https://www.youtube.com/watch?v=9JC1EwqezGY&amp;list=PLyqKj7LwU2RsCtKw3UlE85HYgPM3-xoO1&amp;index=32" TargetMode="External"/><Relationship Id="rId404" Type="http://schemas.openxmlformats.org/officeDocument/2006/relationships/hyperlink" Target="https://www.youtube.com/watch?v=lzDgRRuBdqY&amp;list=PLyqKj7LwU2RtZnGDmtpyhDdvUHFvVyZnA&amp;index=11" TargetMode="External"/><Relationship Id="rId611" Type="http://schemas.openxmlformats.org/officeDocument/2006/relationships/hyperlink" Target="https://youtu.be/x-9S-B8l8Mc" TargetMode="External"/><Relationship Id="rId250" Type="http://schemas.openxmlformats.org/officeDocument/2006/relationships/hyperlink" Target="https://www.youtube.com/watch?v=iWpoegdfgtc&amp;list=PLyqKj7LwU2RsCtKw3UlE85HYgPM3-xoO1&amp;index=17" TargetMode="External"/><Relationship Id="rId488" Type="http://schemas.openxmlformats.org/officeDocument/2006/relationships/hyperlink" Target="https://youtu.be/Mj1coommANU" TargetMode="External"/><Relationship Id="rId695" Type="http://schemas.openxmlformats.org/officeDocument/2006/relationships/table" Target="../tables/table2.xml"/><Relationship Id="rId709" Type="http://schemas.openxmlformats.org/officeDocument/2006/relationships/table" Target="../tables/table16.xml"/><Relationship Id="rId45" Type="http://schemas.openxmlformats.org/officeDocument/2006/relationships/hyperlink" Target="https://www.youtube.com/watch?v=hPWYuhJMUhU&amp;list=PLyqKj7LwU2Rv-tzrJev2STMTIGt_JeugT&amp;index=10" TargetMode="External"/><Relationship Id="rId110" Type="http://schemas.openxmlformats.org/officeDocument/2006/relationships/hyperlink" Target="https://www.youtube.com/watch?v=ke2shAeQ0O8&amp;list=PLyqKj7LwU2Rt1cwOsHwdXa2TiRzjA6uoB&amp;index=7" TargetMode="External"/><Relationship Id="rId348" Type="http://schemas.openxmlformats.org/officeDocument/2006/relationships/hyperlink" Target="https://www.youtube.com/watch?v=5z7ZtboxbBY&amp;list=PLyqKj7LwU2RvynkwL93EcfuPUaDrWNOEc&amp;index=7" TargetMode="External"/><Relationship Id="rId555" Type="http://schemas.openxmlformats.org/officeDocument/2006/relationships/hyperlink" Target="https://youtu.be/a97YCwDFbHE" TargetMode="External"/><Relationship Id="rId194" Type="http://schemas.openxmlformats.org/officeDocument/2006/relationships/hyperlink" Target="https://www.youtube.com/watch?v=HzIiNhHhhtA&amp;list=PLyqKj7LwU2RtjiVutSXk5uC2h7KVMu1Az&amp;index=7" TargetMode="External"/><Relationship Id="rId208" Type="http://schemas.openxmlformats.org/officeDocument/2006/relationships/hyperlink" Target="https://www.youtube.com/watch?v=0o07iGKUarI&amp;list=PLyqKj7LwU2RuNVJBl0CtfZdxQ99IhKCcu&amp;index=7" TargetMode="External"/><Relationship Id="rId415" Type="http://schemas.openxmlformats.org/officeDocument/2006/relationships/hyperlink" Target="https://www.youtube.com/watch?v=nzTY7j9ocR8&amp;list=PLyqKj7LwU2Rv-tzrJev2STMTIGt_JeugT&amp;index=5" TargetMode="External"/><Relationship Id="rId622" Type="http://schemas.openxmlformats.org/officeDocument/2006/relationships/hyperlink" Target="https://youtu.be/e7DJteoE66g" TargetMode="External"/><Relationship Id="rId261" Type="http://schemas.openxmlformats.org/officeDocument/2006/relationships/hyperlink" Target="https://www.youtube.com/watch?v=opjbouBmUWg&amp;list=PLyqKj7LwU2RsCtKw3UlE85HYgPM3-xoO1&amp;index=11" TargetMode="External"/><Relationship Id="rId499" Type="http://schemas.openxmlformats.org/officeDocument/2006/relationships/hyperlink" Target="https://youtu.be/UB1EqxpFY78" TargetMode="External"/><Relationship Id="rId56" Type="http://schemas.openxmlformats.org/officeDocument/2006/relationships/hyperlink" Target="https://www.youtube.com/watch?v=lJ2o89kcnxY&amp;list=PLyqKj7LwU2RuyZwWCIiDHuFZGN11QW3Ff&amp;index=16" TargetMode="External"/><Relationship Id="rId359" Type="http://schemas.openxmlformats.org/officeDocument/2006/relationships/hyperlink" Target="https://www.youtube.com/watch?v=Ub6QruNKfbY&amp;list=PLyqKj7LwU2RuNVJBl0CtfZdxQ99IhKCcu&amp;index=4" TargetMode="External"/><Relationship Id="rId566" Type="http://schemas.openxmlformats.org/officeDocument/2006/relationships/hyperlink" Target="https://youtu.be/8NlYwPOJvHU" TargetMode="External"/><Relationship Id="rId121" Type="http://schemas.openxmlformats.org/officeDocument/2006/relationships/hyperlink" Target="https://www.youtube.com/watch?v=q5X9thiKofE&amp;list=PLyqKj7LwU2RtMd8vP3NEoig1RPJQK78Ea&amp;index=1" TargetMode="External"/><Relationship Id="rId219" Type="http://schemas.openxmlformats.org/officeDocument/2006/relationships/hyperlink" Target="https://www.youtube.com/watch?v=5CECBjd7HLQ&amp;list=PLyqKj7LwU2RuyZwWCIiDHuFZGN11QW3Ff&amp;index=13" TargetMode="External"/><Relationship Id="rId426" Type="http://schemas.openxmlformats.org/officeDocument/2006/relationships/hyperlink" Target="https://www.youtube.com/watch?v=RD_A-Z15ER4&amp;list=PLyqKj7LwU2RvTgEW_QlCCjtIL5d_KP_-I&amp;index=1" TargetMode="External"/><Relationship Id="rId633" Type="http://schemas.openxmlformats.org/officeDocument/2006/relationships/hyperlink" Target="https://youtu.be/7PBGoEqcgc8" TargetMode="External"/><Relationship Id="rId67" Type="http://schemas.openxmlformats.org/officeDocument/2006/relationships/hyperlink" Target="https://www.youtube.com/watch?v=4mfLHnFL0Uw&amp;list=PLyqKj7LwU2RuyZwWCIiDHuFZGN11QW3Ff&amp;index=1" TargetMode="External"/><Relationship Id="rId272" Type="http://schemas.openxmlformats.org/officeDocument/2006/relationships/hyperlink" Target="https://www.youtube.com/watch?v=EK747VC37yE&amp;list=PLyqKj7LwU2Rt1cwOsHwdXa2TiRzjA6uoB&amp;index=10" TargetMode="External"/><Relationship Id="rId577" Type="http://schemas.openxmlformats.org/officeDocument/2006/relationships/hyperlink" Target="https://vimeo.com/427681792" TargetMode="External"/><Relationship Id="rId700" Type="http://schemas.openxmlformats.org/officeDocument/2006/relationships/table" Target="../tables/table7.xml"/><Relationship Id="rId132" Type="http://schemas.openxmlformats.org/officeDocument/2006/relationships/hyperlink" Target="https://www.youtube.com/watch?v=Bx8ga1BLHLE&amp;list=PLyqKj7LwU2RtMd8vP3NEoig1RPJQK78Ea&amp;index=11" TargetMode="External"/><Relationship Id="rId437" Type="http://schemas.openxmlformats.org/officeDocument/2006/relationships/hyperlink" Target="https://www.youtube.com/watch?v=mm6_WcoCVTA&amp;list=PLyqKj7LwU2RuyZwWCIiDHuFZGN11QW3Ff&amp;index=26" TargetMode="External"/><Relationship Id="rId644" Type="http://schemas.openxmlformats.org/officeDocument/2006/relationships/hyperlink" Target="https://youtu.be/a2dNtC17WRU" TargetMode="External"/><Relationship Id="rId283" Type="http://schemas.openxmlformats.org/officeDocument/2006/relationships/hyperlink" Target="https://www.youtube.com/watch?v=2CDKTFFp5fA&amp;list=PLyqKj7LwU2Rt1cwOsHwdXa2TiRzjA6uoB&amp;index=16" TargetMode="External"/><Relationship Id="rId490" Type="http://schemas.openxmlformats.org/officeDocument/2006/relationships/hyperlink" Target="https://youtu.be/VsE1PIF_59w" TargetMode="External"/><Relationship Id="rId504" Type="http://schemas.openxmlformats.org/officeDocument/2006/relationships/hyperlink" Target="https://youtu.be/RZG_4s7nlmA" TargetMode="External"/><Relationship Id="rId711" Type="http://schemas.openxmlformats.org/officeDocument/2006/relationships/table" Target="../tables/table18.xml"/><Relationship Id="rId78" Type="http://schemas.openxmlformats.org/officeDocument/2006/relationships/hyperlink" Target="https://www.youtube.com/watch?v=L4ChTwrXTjc&amp;list=PLyqKj7LwU2RsCtKw3UlE85HYgPM3-xoO1&amp;index=3" TargetMode="External"/><Relationship Id="rId143" Type="http://schemas.openxmlformats.org/officeDocument/2006/relationships/hyperlink" Target="https://www.youtube.com/watch?v=YykmcX2b-LY&amp;list=PLyqKj7LwU2RvynkwL93EcfuPUaDrWNOEc&amp;index=4" TargetMode="External"/><Relationship Id="rId350" Type="http://schemas.openxmlformats.org/officeDocument/2006/relationships/hyperlink" Target="https://www.youtube.com/watch?v=5z7ZtboxbBY&amp;list=PLyqKj7LwU2RvynkwL93EcfuPUaDrWNOEc&amp;index=7" TargetMode="External"/><Relationship Id="rId588" Type="http://schemas.openxmlformats.org/officeDocument/2006/relationships/hyperlink" Target="https://youtu.be/a8f-c31u2GA" TargetMode="External"/><Relationship Id="rId9" Type="http://schemas.openxmlformats.org/officeDocument/2006/relationships/hyperlink" Target="https://www.youtube.com/watch?v=CN_7cz3P-1U&amp;list=PLyqKj7LwU2Rvx_O313dzJNFKPiEqRMWiV&amp;index=9" TargetMode="External"/><Relationship Id="rId210" Type="http://schemas.openxmlformats.org/officeDocument/2006/relationships/hyperlink" Target="https://www.youtube.com/watch?v=hPWYuhJMUhU&amp;list=PLyqKj7LwU2Rv-tzrJev2STMTIGt_JeugT&amp;index=10" TargetMode="External"/><Relationship Id="rId448" Type="http://schemas.openxmlformats.org/officeDocument/2006/relationships/hyperlink" Target="https://youtu.be/r30EoMPSNns" TargetMode="External"/><Relationship Id="rId655" Type="http://schemas.openxmlformats.org/officeDocument/2006/relationships/hyperlink" Target="https://youtu.be/0U2BFdqBQ58" TargetMode="External"/><Relationship Id="rId294" Type="http://schemas.openxmlformats.org/officeDocument/2006/relationships/hyperlink" Target="https://www.youtube.com/watch?v=OChuGyCSC7U&amp;list=PLyqKj7LwU2RtMd8vP3NEoig1RPJQK78Ea&amp;index=12" TargetMode="External"/><Relationship Id="rId308" Type="http://schemas.openxmlformats.org/officeDocument/2006/relationships/hyperlink" Target="https://www.youtube.com/watch?v=YykmcX2b-LY&amp;list=PLyqKj7LwU2RvynkwL93EcfuPUaDrWNOEc&amp;index=4" TargetMode="External"/><Relationship Id="rId515" Type="http://schemas.openxmlformats.org/officeDocument/2006/relationships/hyperlink" Target="https://youtu.be/7s8-FEQm79I" TargetMode="External"/><Relationship Id="rId722" Type="http://schemas.openxmlformats.org/officeDocument/2006/relationships/table" Target="../tables/table29.xml"/><Relationship Id="rId89" Type="http://schemas.openxmlformats.org/officeDocument/2006/relationships/hyperlink" Target="https://www.youtube.com/watch?v=5PoEksoJNaw&amp;list=PLyqKj7LwU2RsCtKw3UlE85HYgPM3-xoO1&amp;index=22" TargetMode="External"/><Relationship Id="rId154" Type="http://schemas.openxmlformats.org/officeDocument/2006/relationships/hyperlink" Target="https://www.youtube.com/watch?v=7FwGZ8qY5OU&amp;list=PLyqKj7LwU2RvTgEW_QlCCjtIL5d_KP_-I&amp;index=2" TargetMode="External"/><Relationship Id="rId361" Type="http://schemas.openxmlformats.org/officeDocument/2006/relationships/hyperlink" Target="https://www.youtube.com/watch?v=D1f7d1OcobY&amp;list=PLyqKj7LwU2RuNVJBl0CtfZdxQ99IhKCcu&amp;index=9" TargetMode="External"/><Relationship Id="rId599" Type="http://schemas.openxmlformats.org/officeDocument/2006/relationships/hyperlink" Target="https://youtu.be/dKswaQc7EVY" TargetMode="External"/><Relationship Id="rId459" Type="http://schemas.openxmlformats.org/officeDocument/2006/relationships/hyperlink" Target="https://youtu.be/OAhvIWLC0rc" TargetMode="External"/><Relationship Id="rId666" Type="http://schemas.openxmlformats.org/officeDocument/2006/relationships/hyperlink" Target="https://vimeo.com/27736922" TargetMode="External"/><Relationship Id="rId16" Type="http://schemas.openxmlformats.org/officeDocument/2006/relationships/hyperlink" Target="https://www.youtube.com/watch?v=4eDJa5MnAmY&amp;list=PLyqKj7LwU2RtZnGDmtpyhDdvUHFvVyZnA&amp;index=15" TargetMode="External"/><Relationship Id="rId221" Type="http://schemas.openxmlformats.org/officeDocument/2006/relationships/hyperlink" Target="https://www.youtube.com/watch?v=lJ2o89kcnxY&amp;list=PLyqKj7LwU2RuyZwWCIiDHuFZGN11QW3Ff&amp;index=16" TargetMode="External"/><Relationship Id="rId319" Type="http://schemas.openxmlformats.org/officeDocument/2006/relationships/hyperlink" Target="https://www.youtube.com/watch?v=HHxNbhP16UE&amp;list=PLyqKj7LwU2RuAg-us4mzap6izNcc1fuRW&amp;index=3" TargetMode="External"/><Relationship Id="rId526" Type="http://schemas.openxmlformats.org/officeDocument/2006/relationships/hyperlink" Target="https://vimeo.com/48989437" TargetMode="External"/><Relationship Id="rId733" Type="http://schemas.openxmlformats.org/officeDocument/2006/relationships/table" Target="../tables/table40.xml"/><Relationship Id="rId165" Type="http://schemas.openxmlformats.org/officeDocument/2006/relationships/hyperlink" Target="https://www.youtube.com/watch?v=T_X5rb3G5lk&amp;list=PLyqKj7LwU2RvTgEW_QlCCjtIL5d_KP_-I&amp;index=4" TargetMode="External"/><Relationship Id="rId372" Type="http://schemas.openxmlformats.org/officeDocument/2006/relationships/hyperlink" Target="https://www.youtube.com/watch?v=iixND1P2lik&amp;list=PLyqKj7LwU2Rt1cwOsHwdXa2TiRzjA6uoB&amp;index=1" TargetMode="External"/><Relationship Id="rId677" Type="http://schemas.openxmlformats.org/officeDocument/2006/relationships/hyperlink" Target="https://youtu.be/dnviBQFAphE" TargetMode="External"/><Relationship Id="rId232" Type="http://schemas.openxmlformats.org/officeDocument/2006/relationships/hyperlink" Target="https://www.youtube.com/watch?v=4mfLHnFL0Uw&amp;list=PLyqKj7LwU2RuyZwWCIiDHuFZGN11QW3Ff&amp;index=1" TargetMode="External"/><Relationship Id="rId27" Type="http://schemas.openxmlformats.org/officeDocument/2006/relationships/hyperlink" Target="https://www.youtube.com/watch?v=jNihW0WDIL4&amp;list=PLyqKj7LwU2RtZnGDmtpyhDdvUHFvVyZnA&amp;index=12" TargetMode="External"/><Relationship Id="rId537" Type="http://schemas.openxmlformats.org/officeDocument/2006/relationships/hyperlink" Target="https://vimeo.com/399848191" TargetMode="External"/><Relationship Id="rId744" Type="http://schemas.openxmlformats.org/officeDocument/2006/relationships/table" Target="../tables/table51.xml"/><Relationship Id="rId80" Type="http://schemas.openxmlformats.org/officeDocument/2006/relationships/hyperlink" Target="https://www.youtube.com/watch?v=gg5hwJuv6KI&amp;list=PLyqKj7LwU2RsCtKw3UlE85HYgPM3-xoO1&amp;index=10" TargetMode="External"/><Relationship Id="rId176" Type="http://schemas.openxmlformats.org/officeDocument/2006/relationships/hyperlink" Target="https://www.youtube.com/watch?v=eFWCn5iEbTU&amp;list=PLyqKj7LwU2RtZnGDmtpyhDdvUHFvVyZnA&amp;index=7" TargetMode="External"/><Relationship Id="rId383" Type="http://schemas.openxmlformats.org/officeDocument/2006/relationships/hyperlink" Target="https://www.youtube.com/watch?v=iQ4JjOK73PE&amp;list=PLyqKj7LwU2RvQpfrgpWoyz-Jj2Xog_3Zx&amp;index=3" TargetMode="External"/><Relationship Id="rId590" Type="http://schemas.openxmlformats.org/officeDocument/2006/relationships/hyperlink" Target="https://youtu.be/wklohZsolc4" TargetMode="External"/><Relationship Id="rId604" Type="http://schemas.openxmlformats.org/officeDocument/2006/relationships/hyperlink" Target="https://youtu.be/oOOqKURO0mU" TargetMode="External"/><Relationship Id="rId243" Type="http://schemas.openxmlformats.org/officeDocument/2006/relationships/hyperlink" Target="https://www.youtube.com/watch?v=L4ChTwrXTjc&amp;list=PLyqKj7LwU2RsCtKw3UlE85HYgPM3-xoO1&amp;index=3" TargetMode="External"/><Relationship Id="rId450" Type="http://schemas.openxmlformats.org/officeDocument/2006/relationships/hyperlink" Target="https://youtu.be/JHRQUogqGbY" TargetMode="External"/><Relationship Id="rId688" Type="http://schemas.openxmlformats.org/officeDocument/2006/relationships/hyperlink" Target="https://youtu.be/6hpL2xoW08s" TargetMode="External"/><Relationship Id="rId38" Type="http://schemas.openxmlformats.org/officeDocument/2006/relationships/hyperlink" Target="https://www.youtube.com/watch?v=qr3ziolhjvQ&amp;list=PLyqKj7LwU2RuNVJBl0CtfZdxQ99IhKCcu&amp;index=3" TargetMode="External"/><Relationship Id="rId103" Type="http://schemas.openxmlformats.org/officeDocument/2006/relationships/hyperlink" Target="https://www.youtube.com/watch?v=JnLFSFurrqQ&amp;list=PLyqKj7LwU2Rt1cwOsHwdXa2TiRzjA6uoB&amp;index=3" TargetMode="External"/><Relationship Id="rId310" Type="http://schemas.openxmlformats.org/officeDocument/2006/relationships/hyperlink" Target="https://www.youtube.com/watch?v=nOn_Bz0zrwQ&amp;list=PLyqKj7LwU2RvynkwL93EcfuPUaDrWNOEc&amp;index=3" TargetMode="External"/><Relationship Id="rId548" Type="http://schemas.openxmlformats.org/officeDocument/2006/relationships/hyperlink" Target="https://youtu.be/mm6_WcoCVTA" TargetMode="External"/><Relationship Id="rId91" Type="http://schemas.openxmlformats.org/officeDocument/2006/relationships/hyperlink" Target="https://www.youtube.com/watch?v=DMo3HJoawrU&amp;list=PLyqKj7LwU2RsCtKw3UlE85HYgPM3-xoO1&amp;index=23" TargetMode="External"/><Relationship Id="rId187" Type="http://schemas.openxmlformats.org/officeDocument/2006/relationships/hyperlink" Target="https://www.youtube.com/watch?v=__qfDhdByMY&amp;list=PLyqKj7LwU2RtQyn5wWMJbD0rCV-cSkiK3&amp;index=5" TargetMode="External"/><Relationship Id="rId394" Type="http://schemas.openxmlformats.org/officeDocument/2006/relationships/hyperlink" Target="https://www.youtube.com/watch?v=jQjWlIwG4sI&amp;list=PLyqKj7LwU2RsCtKw3UlE85HYgPM3-xoO1&amp;index=9" TargetMode="External"/><Relationship Id="rId408" Type="http://schemas.openxmlformats.org/officeDocument/2006/relationships/hyperlink" Target="https://www.youtube.com/watch?v=eFWCn5iEbTU&amp;list=PLyqKj7LwU2RtZnGDmtpyhDdvUHFvVyZnA&amp;index=7" TargetMode="External"/><Relationship Id="rId615" Type="http://schemas.openxmlformats.org/officeDocument/2006/relationships/hyperlink" Target="https://youtu.be/0rLjkQweIDg" TargetMode="External"/><Relationship Id="rId254" Type="http://schemas.openxmlformats.org/officeDocument/2006/relationships/hyperlink" Target="https://www.youtube.com/watch?v=5PoEksoJNaw&amp;list=PLyqKj7LwU2RsCtKw3UlE85HYgPM3-xoO1&amp;index=22" TargetMode="External"/><Relationship Id="rId699" Type="http://schemas.openxmlformats.org/officeDocument/2006/relationships/table" Target="../tables/table6.xml"/><Relationship Id="rId49" Type="http://schemas.openxmlformats.org/officeDocument/2006/relationships/hyperlink" Target="https://www.youtube.com/watch?v=8CGMuud1ANw&amp;list=PLyqKj7LwU2Rv-tzrJev2STMTIGt_JeugT&amp;index=8" TargetMode="External"/><Relationship Id="rId114" Type="http://schemas.openxmlformats.org/officeDocument/2006/relationships/hyperlink" Target="https://www.youtube.com/watch?v=tRXw8HQ7-oA&amp;list=PLyqKj7LwU2Rt1cwOsHwdXa2TiRzjA6uoB&amp;index=8" TargetMode="External"/><Relationship Id="rId461" Type="http://schemas.openxmlformats.org/officeDocument/2006/relationships/hyperlink" Target="https://youtu.be/GdSolgmyW68" TargetMode="External"/><Relationship Id="rId559" Type="http://schemas.openxmlformats.org/officeDocument/2006/relationships/hyperlink" Target="https://vimeo.com/518377374" TargetMode="External"/><Relationship Id="rId198" Type="http://schemas.openxmlformats.org/officeDocument/2006/relationships/hyperlink" Target="https://www.youtube.com/watch?v=yIoAcMD3jcE&amp;list=PLyqKj7LwU2RtjiVutSXk5uC2h7KVMu1Az&amp;index=2" TargetMode="External"/><Relationship Id="rId321" Type="http://schemas.openxmlformats.org/officeDocument/2006/relationships/hyperlink" Target="https://www.youtube.com/watch?v=-eO_VydErV0&amp;list=PLyqKj7LwU2RuAg-us4mzap6izNcc1fuRW" TargetMode="External"/><Relationship Id="rId419" Type="http://schemas.openxmlformats.org/officeDocument/2006/relationships/hyperlink" Target="https://www.youtube.com/watch?v=ke2shAeQ0O8&amp;list=PLyqKj7LwU2Rt1cwOsHwdXa2TiRzjA6uoB&amp;index=7" TargetMode="External"/><Relationship Id="rId626" Type="http://schemas.openxmlformats.org/officeDocument/2006/relationships/hyperlink" Target="https://youtu.be/Wq-Td9UXRK8" TargetMode="External"/><Relationship Id="rId265" Type="http://schemas.openxmlformats.org/officeDocument/2006/relationships/hyperlink" Target="https://www.youtube.com/watch?v=4H2ItXwUTp8&amp;list=PLyqKj7LwU2RsCtKw3UlE85HYgPM3-xoO1&amp;index=20" TargetMode="External"/><Relationship Id="rId472" Type="http://schemas.openxmlformats.org/officeDocument/2006/relationships/hyperlink" Target="https://youtu.be/yfNg5sFndbw" TargetMode="External"/><Relationship Id="rId125" Type="http://schemas.openxmlformats.org/officeDocument/2006/relationships/hyperlink" Target="https://www.youtube.com/watch?v=-xa-6cQaZKY&amp;list=PLyqKj7LwU2RtMd8vP3NEoig1RPJQK78Ea&amp;index=14" TargetMode="External"/><Relationship Id="rId332" Type="http://schemas.openxmlformats.org/officeDocument/2006/relationships/hyperlink" Target="https://www.youtube.com/watch?v=Orxowest56U&amp;list=PLyqKj7LwU2Rvx_O313dzJNFKPiEqRMWiV&amp;index=7" TargetMode="External"/><Relationship Id="rId637" Type="http://schemas.openxmlformats.org/officeDocument/2006/relationships/hyperlink" Target="https://youtu.be/dGwIGkmy-n0" TargetMode="External"/><Relationship Id="rId276" Type="http://schemas.openxmlformats.org/officeDocument/2006/relationships/hyperlink" Target="https://www.youtube.com/watch?v=XOEL4MgekYE&amp;list=PLyqKj7LwU2Rt1cwOsHwdXa2TiRzjA6uoB&amp;index=13" TargetMode="External"/><Relationship Id="rId483" Type="http://schemas.openxmlformats.org/officeDocument/2006/relationships/hyperlink" Target="https://youtu.be/B9uVa1PHGvM" TargetMode="External"/><Relationship Id="rId690" Type="http://schemas.openxmlformats.org/officeDocument/2006/relationships/hyperlink" Target="https://youtu.be/nImVcz1_gio" TargetMode="External"/><Relationship Id="rId704" Type="http://schemas.openxmlformats.org/officeDocument/2006/relationships/table" Target="../tables/table11.xml"/><Relationship Id="rId40" Type="http://schemas.openxmlformats.org/officeDocument/2006/relationships/hyperlink" Target="https://www.youtube.com/watch?v=SKf8wHlIFX0&amp;list=PLyqKj7LwU2RuNVJBl0CtfZdxQ99IhKCcu&amp;index=10" TargetMode="External"/><Relationship Id="rId136" Type="http://schemas.openxmlformats.org/officeDocument/2006/relationships/hyperlink" Target="https://www.youtube.com/watch?v=M_MjF5Nm_h4&amp;list=PLyqKj7LwU2RvynkwL93EcfuPUaDrWNOEc&amp;index=2" TargetMode="External"/><Relationship Id="rId343" Type="http://schemas.openxmlformats.org/officeDocument/2006/relationships/hyperlink" Target="https://vimeo.com/326552551" TargetMode="External"/><Relationship Id="rId550" Type="http://schemas.openxmlformats.org/officeDocument/2006/relationships/hyperlink" Target="https://youtu.be/Me9bHFAxnCs" TargetMode="External"/><Relationship Id="rId203" Type="http://schemas.openxmlformats.org/officeDocument/2006/relationships/hyperlink" Target="https://www.youtube.com/watch?v=qr3ziolhjvQ&amp;list=PLyqKj7LwU2RuNVJBl0CtfZdxQ99IhKCcu&amp;index=3" TargetMode="External"/><Relationship Id="rId648" Type="http://schemas.openxmlformats.org/officeDocument/2006/relationships/hyperlink" Target="https://vimeo.com/407092494" TargetMode="External"/><Relationship Id="rId287" Type="http://schemas.openxmlformats.org/officeDocument/2006/relationships/hyperlink" Target="https://www.youtube.com/watch?v=IdZ7HXnatko&amp;list=PLyqKj7LwU2RtMd8vP3NEoig1RPJQK78Ea&amp;index=9" TargetMode="External"/><Relationship Id="rId410" Type="http://schemas.openxmlformats.org/officeDocument/2006/relationships/hyperlink" Target="https://www.youtube.com/watch?v=D1f7d1OcobY&amp;list=PLyqKj7LwU2RuNVJBl0CtfZdxQ99IhKCcu&amp;index=9" TargetMode="External"/><Relationship Id="rId494" Type="http://schemas.openxmlformats.org/officeDocument/2006/relationships/hyperlink" Target="https://youtu.be/bcVKR_IPz4U" TargetMode="External"/><Relationship Id="rId508" Type="http://schemas.openxmlformats.org/officeDocument/2006/relationships/hyperlink" Target="https://youtu.be/2x4Ob8WDMjk" TargetMode="External"/><Relationship Id="rId715" Type="http://schemas.openxmlformats.org/officeDocument/2006/relationships/table" Target="../tables/table22.xml"/><Relationship Id="rId147" Type="http://schemas.openxmlformats.org/officeDocument/2006/relationships/hyperlink" Target="https://www.youtube.com/watch?v=BeIcUXQ3RDc&amp;list=PLyqKj7LwU2RvynkwL93EcfuPUaDrWNOEc&amp;index=6" TargetMode="External"/><Relationship Id="rId354" Type="http://schemas.openxmlformats.org/officeDocument/2006/relationships/hyperlink" Target="https://www.youtube.com/watch?v=lzDgRRuBdqY&amp;list=PLyqKj7LwU2RtZnGDmtpyhDdvUHFvVyZnA&amp;index=11" TargetMode="External"/><Relationship Id="rId51" Type="http://schemas.openxmlformats.org/officeDocument/2006/relationships/hyperlink" Target="https://www.youtube.com/watch?v=f0g5NkYiWUY&amp;list=PLyqKj7LwU2Rv-tzrJev2STMTIGt_JeugT&amp;index=2" TargetMode="External"/><Relationship Id="rId561" Type="http://schemas.openxmlformats.org/officeDocument/2006/relationships/hyperlink" Target="https://youtu.be/yIF-3TG1wgM" TargetMode="External"/><Relationship Id="rId659" Type="http://schemas.openxmlformats.org/officeDocument/2006/relationships/hyperlink" Target="https://vimeo.com/208383097" TargetMode="External"/><Relationship Id="rId214" Type="http://schemas.openxmlformats.org/officeDocument/2006/relationships/hyperlink" Target="https://www.youtube.com/watch?v=8CGMuud1ANw&amp;list=PLyqKj7LwU2Rv-tzrJev2STMTIGt_JeugT&amp;index=8" TargetMode="External"/><Relationship Id="rId298" Type="http://schemas.openxmlformats.org/officeDocument/2006/relationships/hyperlink" Target="https://www.youtube.com/watch?v=kqidUIf1eJE&amp;list=PLyqKj7LwU2RtMd8vP3NEoig1RPJQK78Ea&amp;index=13" TargetMode="External"/><Relationship Id="rId421" Type="http://schemas.openxmlformats.org/officeDocument/2006/relationships/hyperlink" Target="https://www.youtube.com/watch?v=iixND1P2lik&amp;list=PLyqKj7LwU2Rt1cwOsHwdXa2TiRzjA6uoB&amp;index=1" TargetMode="External"/><Relationship Id="rId519" Type="http://schemas.openxmlformats.org/officeDocument/2006/relationships/hyperlink" Target="https://youtu.be/2zhFTw2epoc" TargetMode="External"/><Relationship Id="rId158" Type="http://schemas.openxmlformats.org/officeDocument/2006/relationships/hyperlink" Target="https://www.youtube.com/watch?v=iQ4JjOK73PE&amp;list=PLyqKj7LwU2RvQpfrgpWoyz-Jj2Xog_3Zx&amp;index=3" TargetMode="External"/><Relationship Id="rId726"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CD9F-5277-47BC-A4BB-99E7D965F0C8}">
  <sheetPr>
    <outlinePr summaryBelow="0" summaryRight="0"/>
    <pageSetUpPr fitToPage="1"/>
  </sheetPr>
  <dimension ref="A1:EF998"/>
  <sheetViews>
    <sheetView showGridLines="0" tabSelected="1" zoomScale="85" zoomScaleNormal="85" zoomScaleSheetLayoutView="50" workbookViewId="0">
      <selection activeCell="N14" sqref="N14"/>
    </sheetView>
  </sheetViews>
  <sheetFormatPr defaultColWidth="14.3984375" defaultRowHeight="15" customHeight="1"/>
  <cols>
    <col min="1" max="1" width="10.73046875" style="82" customWidth="1"/>
    <col min="2" max="2" width="35.1328125" style="82" customWidth="1"/>
    <col min="3" max="3" width="19.59765625" style="82" customWidth="1"/>
    <col min="4" max="4" width="14" style="82" customWidth="1"/>
    <col min="5" max="5" width="15.73046875" style="82" customWidth="1"/>
    <col min="6" max="6" width="13.265625" style="82" hidden="1" customWidth="1"/>
    <col min="7" max="7" width="44.59765625" style="82" customWidth="1"/>
    <col min="8" max="8" width="44.59765625" style="82" hidden="1" customWidth="1"/>
    <col min="9" max="9" width="12.265625" style="82" customWidth="1"/>
    <col min="10" max="10" width="3.86328125" style="82" customWidth="1"/>
    <col min="11" max="11" width="29.59765625" style="82" bestFit="1" customWidth="1"/>
    <col min="12" max="12" width="7.73046875" style="82" customWidth="1"/>
    <col min="13" max="13" width="12.73046875" style="82" customWidth="1"/>
    <col min="14" max="14" width="20.73046875" style="82" customWidth="1"/>
    <col min="15" max="15" width="15.73046875" style="82" customWidth="1"/>
    <col min="16" max="16" width="19.265625" style="82" customWidth="1"/>
    <col min="17" max="17" width="2.59765625" style="82" customWidth="1"/>
    <col min="18" max="18" width="29.59765625" style="82" bestFit="1" customWidth="1"/>
    <col min="19" max="19" width="7.73046875" style="82" customWidth="1"/>
    <col min="20" max="20" width="12.73046875" style="82" customWidth="1"/>
    <col min="21" max="21" width="17.86328125" style="82" customWidth="1"/>
    <col min="22" max="23" width="15.73046875" style="82" customWidth="1"/>
    <col min="24" max="24" width="12.86328125" style="82" customWidth="1"/>
    <col min="25" max="25" width="2.59765625" style="82" customWidth="1"/>
    <col min="26" max="26" width="29.59765625" style="82" bestFit="1" customWidth="1"/>
    <col min="27" max="27" width="7.73046875" style="82" customWidth="1"/>
    <col min="28" max="28" width="13.1328125" style="82" customWidth="1"/>
    <col min="29" max="29" width="12.73046875" style="82" customWidth="1"/>
    <col min="30" max="31" width="15.73046875" style="82" customWidth="1"/>
    <col min="32" max="32" width="13.265625" style="82" bestFit="1" customWidth="1"/>
    <col min="33" max="33" width="2" style="82" customWidth="1"/>
    <col min="34" max="34" width="29.59765625" style="82" bestFit="1" customWidth="1"/>
    <col min="35" max="35" width="7.73046875" style="82" customWidth="1"/>
    <col min="36" max="36" width="11.3984375" style="82" bestFit="1" customWidth="1"/>
    <col min="37" max="37" width="12.73046875" style="82" customWidth="1"/>
    <col min="38" max="38" width="15.73046875" style="82" customWidth="1"/>
    <col min="39" max="39" width="15.1328125" style="82" bestFit="1" customWidth="1"/>
    <col min="40" max="40" width="13.265625" style="82" bestFit="1" customWidth="1"/>
    <col min="41" max="41" width="2" style="82" customWidth="1"/>
    <col min="42" max="42" width="29.59765625" style="82" bestFit="1" customWidth="1"/>
    <col min="43" max="43" width="7.59765625" style="82" customWidth="1"/>
    <col min="44" max="44" width="11.3984375" style="82" bestFit="1" customWidth="1"/>
    <col min="45" max="45" width="12.73046875" style="82" customWidth="1"/>
    <col min="46" max="46" width="15.73046875" style="82" customWidth="1"/>
    <col min="47" max="47" width="15.1328125" style="82" bestFit="1" customWidth="1"/>
    <col min="48" max="48" width="13.265625" style="82" bestFit="1" customWidth="1"/>
    <col min="49" max="49" width="2" style="82" customWidth="1"/>
    <col min="50" max="50" width="29.59765625" style="82" bestFit="1" customWidth="1"/>
    <col min="51" max="51" width="7.59765625" style="82" customWidth="1"/>
    <col min="52" max="52" width="11.3984375" style="82" bestFit="1" customWidth="1"/>
    <col min="53" max="53" width="12.73046875" style="82" customWidth="1"/>
    <col min="54" max="54" width="15.73046875" style="82" customWidth="1"/>
    <col min="55" max="55" width="15.1328125" style="82" bestFit="1" customWidth="1"/>
    <col min="56" max="56" width="13.265625" style="82" bestFit="1" customWidth="1"/>
    <col min="57" max="57" width="2" style="82" customWidth="1"/>
    <col min="58" max="58" width="29.73046875" style="155" customWidth="1"/>
    <col min="59" max="59" width="7.59765625" style="82" customWidth="1"/>
    <col min="60" max="60" width="11.3984375" style="155" bestFit="1" customWidth="1"/>
    <col min="61" max="61" width="12.73046875" style="155" customWidth="1"/>
    <col min="62" max="62" width="15.73046875" style="155" customWidth="1"/>
    <col min="63" max="63" width="15.1328125" style="155" bestFit="1" customWidth="1"/>
    <col min="64" max="64" width="13.265625" style="155" bestFit="1" customWidth="1"/>
    <col min="65" max="65" width="2" style="155" customWidth="1"/>
    <col min="66" max="66" width="29.73046875" style="155" customWidth="1"/>
    <col min="67" max="67" width="7.59765625" style="82" customWidth="1"/>
    <col min="68" max="68" width="11.3984375" style="155" bestFit="1" customWidth="1"/>
    <col min="69" max="69" width="12.73046875" style="155" customWidth="1"/>
    <col min="70" max="70" width="15.73046875" style="155" customWidth="1"/>
    <col min="71" max="71" width="15.1328125" style="155" bestFit="1" customWidth="1"/>
    <col min="72" max="72" width="13.265625" style="155" bestFit="1" customWidth="1"/>
    <col min="73" max="73" width="2" style="155" customWidth="1"/>
    <col min="74" max="74" width="29.73046875" style="155" customWidth="1"/>
    <col min="75" max="75" width="7.59765625" style="82" customWidth="1"/>
    <col min="76" max="76" width="11.3984375" style="155" bestFit="1" customWidth="1"/>
    <col min="77" max="77" width="12.73046875" style="155" customWidth="1"/>
    <col min="78" max="78" width="15.73046875" style="155" customWidth="1"/>
    <col min="79" max="79" width="15.1328125" style="155" bestFit="1" customWidth="1"/>
    <col min="80" max="80" width="13.265625" style="155" bestFit="1" customWidth="1"/>
    <col min="81" max="81" width="2" style="155" customWidth="1"/>
    <col min="82" max="82" width="29.73046875" style="155" customWidth="1"/>
    <col min="83" max="83" width="7.59765625" style="82" customWidth="1"/>
    <col min="84" max="84" width="11.3984375" style="155" bestFit="1" customWidth="1"/>
    <col min="85" max="85" width="12.73046875" style="155" customWidth="1"/>
    <col min="86" max="86" width="12.3984375" style="155" bestFit="1" customWidth="1"/>
    <col min="87" max="87" width="15.73046875" style="155" customWidth="1"/>
    <col min="88" max="88" width="13.265625" style="155" bestFit="1" customWidth="1"/>
    <col min="89" max="89" width="2" style="155" customWidth="1"/>
    <col min="90" max="90" width="29.73046875" style="155" customWidth="1"/>
    <col min="91" max="91" width="7.59765625" style="82" customWidth="1"/>
    <col min="92" max="92" width="11.3984375" style="155" bestFit="1" customWidth="1"/>
    <col min="93" max="93" width="12.73046875" style="155" customWidth="1"/>
    <col min="94" max="94" width="15.73046875" style="155" customWidth="1"/>
    <col min="95" max="95" width="15.1328125" style="155" bestFit="1" customWidth="1"/>
    <col min="96" max="96" width="13.265625" style="155" bestFit="1" customWidth="1"/>
    <col min="97" max="97" width="2" style="155" customWidth="1"/>
    <col min="98" max="98" width="29.59765625" style="82" bestFit="1" customWidth="1"/>
    <col min="99" max="99" width="7.73046875" style="82" customWidth="1"/>
    <col min="100" max="100" width="29.3984375" style="82" customWidth="1"/>
    <col min="101" max="101" width="26.59765625" style="82" customWidth="1"/>
    <col min="102" max="102" width="15.73046875" style="82" customWidth="1"/>
    <col min="103" max="103" width="15.1328125" style="82" bestFit="1" customWidth="1"/>
    <col min="104" max="104" width="13.265625" style="82" bestFit="1" customWidth="1"/>
    <col min="105" max="105" width="2" style="82" customWidth="1"/>
    <col min="106" max="106" width="29.59765625" style="82" bestFit="1" customWidth="1"/>
    <col min="107" max="107" width="7.73046875" style="82" customWidth="1"/>
    <col min="108" max="108" width="11.3984375" style="82" bestFit="1" customWidth="1"/>
    <col min="109" max="109" width="12.73046875" style="82" customWidth="1"/>
    <col min="110" max="110" width="15.73046875" style="82" customWidth="1"/>
    <col min="111" max="111" width="14.73046875" style="82" customWidth="1"/>
    <col min="112" max="112" width="12.73046875" style="82" customWidth="1"/>
    <col min="113" max="113" width="2" style="82" customWidth="1"/>
    <col min="114" max="114" width="29.59765625" style="82" bestFit="1" customWidth="1"/>
    <col min="115" max="115" width="9.1328125" style="82" customWidth="1"/>
    <col min="116" max="116" width="27.59765625" style="82" customWidth="1"/>
    <col min="117" max="117" width="25.3984375" style="82" customWidth="1"/>
    <col min="118" max="118" width="14.3984375" style="82" customWidth="1"/>
    <col min="119" max="119" width="2" style="82" customWidth="1"/>
    <col min="120" max="120" width="15.73046875" style="82" customWidth="1"/>
    <col min="121" max="121" width="12.86328125" style="82" bestFit="1" customWidth="1"/>
    <col min="122" max="122" width="12.86328125" style="82" customWidth="1"/>
    <col min="123" max="123" width="2.59765625" style="82" customWidth="1"/>
    <col min="124" max="124" width="30.73046875" style="82" customWidth="1"/>
    <col min="125" max="125" width="7.73046875" style="82" customWidth="1"/>
    <col min="126" max="126" width="12.73046875" style="82" customWidth="1"/>
    <col min="127" max="127" width="20.73046875" style="82" customWidth="1"/>
    <col min="128" max="128" width="15.73046875" style="82" customWidth="1"/>
    <col min="129" max="129" width="12.86328125" style="82" bestFit="1" customWidth="1"/>
    <col min="130" max="130" width="12.86328125" style="82" customWidth="1"/>
    <col min="131" max="131" width="2.59765625" style="82" customWidth="1"/>
    <col min="132" max="132" width="30.73046875" style="82" customWidth="1"/>
    <col min="133" max="133" width="7.73046875" style="82" customWidth="1"/>
    <col min="134" max="134" width="12.73046875" style="82" customWidth="1"/>
    <col min="135" max="135" width="20.73046875" style="82" customWidth="1"/>
    <col min="136" max="136" width="15.73046875" style="82" customWidth="1"/>
    <col min="137" max="137" width="12.86328125" style="82" bestFit="1" customWidth="1"/>
    <col min="138" max="138" width="12.86328125" style="82" customWidth="1"/>
    <col min="139" max="139" width="2.59765625" style="82" customWidth="1"/>
    <col min="140" max="140" width="30.73046875" style="82" customWidth="1"/>
    <col min="141" max="141" width="7.73046875" style="82" customWidth="1"/>
    <col min="142" max="142" width="12.73046875" style="82" customWidth="1"/>
    <col min="143" max="143" width="20.73046875" style="82" customWidth="1"/>
    <col min="144" max="144" width="15.73046875" style="82" customWidth="1"/>
    <col min="145" max="145" width="12.86328125" style="82" bestFit="1" customWidth="1"/>
    <col min="146" max="146" width="12.86328125" style="82" customWidth="1"/>
    <col min="147" max="147" width="2.59765625" style="82" customWidth="1"/>
    <col min="148" max="148" width="30.73046875" style="82" customWidth="1"/>
    <col min="149" max="149" width="7.73046875" style="82" customWidth="1"/>
    <col min="150" max="150" width="25.3984375" style="82" customWidth="1"/>
    <col min="151" max="151" width="16.86328125" style="82" customWidth="1"/>
    <col min="152" max="152" width="13.3984375" style="82" customWidth="1"/>
    <col min="153" max="153" width="0.86328125" style="82" customWidth="1"/>
    <col min="154" max="156" width="14.3984375" style="82"/>
    <col min="157" max="157" width="0.86328125" style="82" customWidth="1"/>
    <col min="158" max="160" width="14.3984375" style="82"/>
    <col min="161" max="161" width="0.86328125" style="82" customWidth="1"/>
    <col min="162" max="164" width="14.3984375" style="82"/>
    <col min="165" max="165" width="0.86328125" style="82" customWidth="1"/>
    <col min="166" max="168" width="14.3984375" style="82"/>
    <col min="169" max="169" width="0.86328125" style="82" customWidth="1"/>
    <col min="170" max="16384" width="14.3984375" style="82"/>
  </cols>
  <sheetData>
    <row r="1" spans="1:130" ht="15" customHeight="1" thickBot="1">
      <c r="AX1"/>
      <c r="AZ1"/>
      <c r="BA1"/>
      <c r="BB1"/>
      <c r="BC1"/>
      <c r="BD1"/>
      <c r="BE1"/>
      <c r="BF1"/>
      <c r="BH1"/>
      <c r="BI1"/>
      <c r="BJ1"/>
      <c r="BK1"/>
      <c r="BL1"/>
      <c r="BM1"/>
      <c r="BN1"/>
      <c r="BP1"/>
      <c r="BQ1"/>
      <c r="BR1"/>
      <c r="BS1"/>
      <c r="BT1"/>
      <c r="BU1"/>
      <c r="BV1"/>
      <c r="BX1"/>
      <c r="BY1"/>
      <c r="BZ1"/>
      <c r="CA1"/>
      <c r="CB1"/>
      <c r="CC1"/>
      <c r="CD1"/>
      <c r="CF1"/>
      <c r="CG1"/>
      <c r="CH1"/>
      <c r="CI1"/>
      <c r="CJ1"/>
      <c r="CK1"/>
      <c r="CL1" s="82"/>
      <c r="CN1" s="82"/>
      <c r="CO1" s="82"/>
      <c r="CP1" s="82"/>
      <c r="CQ1" s="82"/>
      <c r="CR1" s="82"/>
      <c r="CS1" s="82"/>
    </row>
    <row r="2" spans="1:130" ht="36.75" customHeight="1" thickBot="1">
      <c r="B2" s="189" t="s">
        <v>30</v>
      </c>
      <c r="C2" s="190"/>
      <c r="D2" s="191"/>
      <c r="E2" s="111"/>
      <c r="F2" s="111"/>
      <c r="G2" s="110"/>
      <c r="H2" s="111"/>
      <c r="I2" s="136"/>
      <c r="J2"/>
      <c r="K2"/>
      <c r="L2"/>
      <c r="M2" s="238" t="s">
        <v>805</v>
      </c>
      <c r="N2" s="239"/>
      <c r="O2" s="231" t="s">
        <v>806</v>
      </c>
      <c r="P2" s="234" t="s">
        <v>760</v>
      </c>
      <c r="Q2" s="87"/>
      <c r="R2" s="201" t="s">
        <v>765</v>
      </c>
      <c r="S2" s="202"/>
      <c r="T2" s="87"/>
      <c r="U2" s="216" t="s">
        <v>763</v>
      </c>
      <c r="V2" s="207" t="s">
        <v>764</v>
      </c>
      <c r="W2" s="208"/>
      <c r="X2" s="208"/>
      <c r="Y2" s="209"/>
      <c r="Z2" s="136"/>
      <c r="AA2" s="173" t="s">
        <v>807</v>
      </c>
      <c r="AB2" s="174"/>
      <c r="AC2" s="174"/>
      <c r="AD2" s="174"/>
      <c r="AE2" s="174"/>
      <c r="AF2" s="174"/>
      <c r="AG2" s="175"/>
      <c r="AQ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s="82"/>
      <c r="CM2"/>
      <c r="CN2" s="82"/>
      <c r="CO2" s="82"/>
      <c r="CP2" s="82"/>
      <c r="CQ2" s="82"/>
      <c r="CR2" s="82"/>
      <c r="CS2" s="82"/>
    </row>
    <row r="3" spans="1:130" ht="35.25" customHeight="1">
      <c r="B3" s="192" t="s">
        <v>803</v>
      </c>
      <c r="C3" s="193"/>
      <c r="D3" s="194"/>
      <c r="E3" s="111"/>
      <c r="F3" s="111"/>
      <c r="G3" s="224" t="s">
        <v>804</v>
      </c>
      <c r="H3" s="111"/>
      <c r="I3" s="176" t="s">
        <v>808</v>
      </c>
      <c r="J3"/>
      <c r="K3"/>
      <c r="L3"/>
      <c r="M3" s="240"/>
      <c r="N3" s="241"/>
      <c r="O3" s="232"/>
      <c r="P3" s="235"/>
      <c r="Q3" s="136"/>
      <c r="R3" s="203"/>
      <c r="S3" s="204"/>
      <c r="T3" s="223"/>
      <c r="U3" s="217"/>
      <c r="V3" s="210"/>
      <c r="W3" s="211"/>
      <c r="X3" s="211"/>
      <c r="Y3" s="212"/>
      <c r="AA3" s="179" t="s">
        <v>809</v>
      </c>
      <c r="AB3" s="180"/>
      <c r="AC3" s="180"/>
      <c r="AD3" s="180"/>
      <c r="AE3" s="180"/>
      <c r="AF3" s="180"/>
      <c r="AG3" s="181"/>
      <c r="AQ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s="82"/>
      <c r="CM3"/>
      <c r="CN3" s="82"/>
      <c r="CO3" s="82"/>
      <c r="CP3" s="82"/>
      <c r="CQ3" s="82"/>
      <c r="CR3" s="82"/>
      <c r="CS3" s="82"/>
    </row>
    <row r="4" spans="1:130" ht="16.5" customHeight="1" thickBot="1">
      <c r="B4" s="195"/>
      <c r="C4" s="196"/>
      <c r="D4" s="197"/>
      <c r="E4" s="112"/>
      <c r="F4" s="112"/>
      <c r="G4" s="225"/>
      <c r="H4" s="113"/>
      <c r="I4" s="177"/>
      <c r="J4"/>
      <c r="K4"/>
      <c r="L4"/>
      <c r="M4" s="240"/>
      <c r="N4" s="241"/>
      <c r="O4" s="232"/>
      <c r="P4" s="235"/>
      <c r="Q4" s="114"/>
      <c r="R4" s="203"/>
      <c r="S4" s="204"/>
      <c r="T4" s="223"/>
      <c r="U4" s="217"/>
      <c r="V4" s="210"/>
      <c r="W4" s="211"/>
      <c r="X4" s="211"/>
      <c r="Y4" s="212"/>
      <c r="AA4" s="182"/>
      <c r="AB4" s="183"/>
      <c r="AC4" s="183"/>
      <c r="AD4" s="183"/>
      <c r="AE4" s="183"/>
      <c r="AF4" s="183"/>
      <c r="AG4" s="184"/>
      <c r="AQ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s="82"/>
      <c r="CM4"/>
      <c r="CN4" s="82"/>
      <c r="CO4" s="82"/>
      <c r="CP4" s="82"/>
      <c r="CQ4" s="82"/>
      <c r="CR4" s="82"/>
      <c r="CS4" s="82"/>
      <c r="DC4" s="138"/>
      <c r="DE4" s="137"/>
      <c r="DF4" s="137"/>
      <c r="DG4" s="137"/>
      <c r="DH4" s="137"/>
      <c r="DI4" s="137"/>
      <c r="DJ4" s="137"/>
      <c r="DK4" s="137"/>
      <c r="DL4" s="137"/>
    </row>
    <row r="5" spans="1:130" ht="15" customHeight="1">
      <c r="B5" s="195"/>
      <c r="C5" s="196"/>
      <c r="D5" s="197"/>
      <c r="E5" s="112"/>
      <c r="F5" s="112"/>
      <c r="G5" s="225"/>
      <c r="H5" s="113"/>
      <c r="I5" s="177"/>
      <c r="J5"/>
      <c r="K5"/>
      <c r="L5"/>
      <c r="M5" s="240"/>
      <c r="N5" s="241"/>
      <c r="O5" s="232"/>
      <c r="P5" s="235"/>
      <c r="Q5" s="114"/>
      <c r="R5" s="203"/>
      <c r="S5" s="204"/>
      <c r="T5" s="223"/>
      <c r="U5" s="217"/>
      <c r="V5" s="210"/>
      <c r="W5" s="211"/>
      <c r="X5" s="211"/>
      <c r="Y5" s="212"/>
      <c r="AA5" s="182"/>
      <c r="AB5" s="183"/>
      <c r="AC5" s="183"/>
      <c r="AD5" s="183"/>
      <c r="AE5" s="183"/>
      <c r="AF5" s="183"/>
      <c r="AG5" s="184"/>
      <c r="AQ5"/>
      <c r="AV5" s="138"/>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s="268" t="s">
        <v>810</v>
      </c>
      <c r="CM5" s="269"/>
      <c r="CN5" s="269"/>
      <c r="CO5" s="269"/>
      <c r="CP5" s="269"/>
      <c r="CQ5" s="269"/>
      <c r="CR5" s="270"/>
      <c r="CS5" s="82"/>
      <c r="CT5" s="255" t="s">
        <v>811</v>
      </c>
      <c r="CU5" s="256"/>
      <c r="CV5" s="256"/>
      <c r="CW5" s="256"/>
      <c r="CX5" s="257"/>
    </row>
    <row r="6" spans="1:130" ht="48" customHeight="1" thickBot="1">
      <c r="B6" s="195"/>
      <c r="C6" s="196"/>
      <c r="D6" s="197"/>
      <c r="E6" s="115"/>
      <c r="F6" s="112"/>
      <c r="G6" s="225"/>
      <c r="H6" s="113"/>
      <c r="I6" s="177"/>
      <c r="J6"/>
      <c r="K6"/>
      <c r="L6"/>
      <c r="M6" s="240"/>
      <c r="N6" s="241"/>
      <c r="O6" s="232"/>
      <c r="P6" s="235"/>
      <c r="Q6" s="114"/>
      <c r="R6" s="203"/>
      <c r="S6" s="204"/>
      <c r="T6" s="111"/>
      <c r="U6" s="217"/>
      <c r="V6" s="213"/>
      <c r="W6" s="214"/>
      <c r="X6" s="214"/>
      <c r="Y6" s="215"/>
      <c r="Z6" s="138"/>
      <c r="AA6" s="182"/>
      <c r="AB6" s="183"/>
      <c r="AC6" s="183"/>
      <c r="AD6" s="183"/>
      <c r="AE6" s="183"/>
      <c r="AF6" s="183"/>
      <c r="AG6" s="184"/>
      <c r="AQ6"/>
      <c r="AV6" s="172"/>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s="271"/>
      <c r="CM6" s="272"/>
      <c r="CN6" s="272"/>
      <c r="CO6" s="272"/>
      <c r="CP6" s="272"/>
      <c r="CQ6" s="272"/>
      <c r="CR6" s="273"/>
      <c r="CS6" s="82"/>
      <c r="CT6" s="258"/>
      <c r="CU6" s="259"/>
      <c r="CV6" s="259"/>
      <c r="CW6" s="259"/>
      <c r="CX6" s="260"/>
    </row>
    <row r="7" spans="1:130" ht="36.75" customHeight="1" thickBot="1">
      <c r="B7" s="195"/>
      <c r="C7" s="196"/>
      <c r="D7" s="197"/>
      <c r="E7" s="112"/>
      <c r="F7" s="112"/>
      <c r="G7" s="225"/>
      <c r="I7" s="177"/>
      <c r="J7"/>
      <c r="K7"/>
      <c r="L7"/>
      <c r="M7" s="240"/>
      <c r="N7" s="241"/>
      <c r="O7" s="233"/>
      <c r="P7" s="236"/>
      <c r="Q7" s="138"/>
      <c r="R7" s="203"/>
      <c r="S7" s="204"/>
      <c r="T7" s="112"/>
      <c r="U7" s="218"/>
      <c r="Z7" s="139"/>
      <c r="AA7" s="182"/>
      <c r="AB7" s="183"/>
      <c r="AC7" s="183"/>
      <c r="AD7" s="183"/>
      <c r="AE7" s="183"/>
      <c r="AF7" s="183"/>
      <c r="AG7" s="184"/>
      <c r="AQ7"/>
      <c r="AV7" s="172"/>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s="271"/>
      <c r="CM7" s="272"/>
      <c r="CN7" s="272"/>
      <c r="CO7" s="272"/>
      <c r="CP7" s="272"/>
      <c r="CQ7" s="272"/>
      <c r="CR7" s="273"/>
      <c r="CS7" s="82"/>
      <c r="CT7" s="258"/>
      <c r="CU7" s="259"/>
      <c r="CV7" s="259"/>
      <c r="CW7" s="259"/>
      <c r="CX7" s="260"/>
    </row>
    <row r="8" spans="1:130" ht="94.5" customHeight="1" thickBot="1">
      <c r="B8" s="195"/>
      <c r="C8" s="196"/>
      <c r="D8" s="197"/>
      <c r="E8" s="112"/>
      <c r="F8" s="112"/>
      <c r="G8" s="226"/>
      <c r="H8" s="112"/>
      <c r="I8" s="178"/>
      <c r="J8"/>
      <c r="K8"/>
      <c r="L8"/>
      <c r="M8" s="242"/>
      <c r="N8" s="243"/>
      <c r="O8" s="140"/>
      <c r="P8" s="141"/>
      <c r="Q8" s="141"/>
      <c r="R8" s="205"/>
      <c r="S8" s="206"/>
      <c r="T8" s="112"/>
      <c r="U8" s="112"/>
      <c r="Z8" s="139"/>
      <c r="AA8" s="185"/>
      <c r="AB8" s="186"/>
      <c r="AC8" s="186"/>
      <c r="AD8" s="186"/>
      <c r="AE8" s="186"/>
      <c r="AF8" s="186"/>
      <c r="AG8" s="187"/>
      <c r="AQ8"/>
      <c r="AV8" s="172"/>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s="274"/>
      <c r="CM8" s="275"/>
      <c r="CN8" s="275"/>
      <c r="CO8" s="275"/>
      <c r="CP8" s="275"/>
      <c r="CQ8" s="275"/>
      <c r="CR8" s="276"/>
      <c r="CS8" s="82"/>
      <c r="CT8" s="261"/>
      <c r="CU8" s="262"/>
      <c r="CV8" s="262"/>
      <c r="CW8" s="262"/>
      <c r="CX8" s="263"/>
    </row>
    <row r="9" spans="1:130" ht="30.95" customHeight="1" thickBot="1">
      <c r="B9" s="195"/>
      <c r="C9" s="196"/>
      <c r="D9" s="197"/>
      <c r="E9" s="111"/>
      <c r="F9" s="111"/>
      <c r="G9" s="110"/>
      <c r="H9" s="111"/>
      <c r="I9" s="111"/>
      <c r="M9" s="138"/>
      <c r="O9" s="140"/>
      <c r="P9" s="141"/>
      <c r="Q9" s="141"/>
      <c r="R9" s="141"/>
      <c r="T9" s="112"/>
      <c r="U9" s="112"/>
      <c r="Z9" s="138"/>
      <c r="AA9" s="173"/>
      <c r="AB9" s="174"/>
      <c r="AC9" s="174"/>
      <c r="AD9" s="174"/>
      <c r="AE9" s="174"/>
      <c r="AF9" s="174"/>
      <c r="AG9" s="175"/>
      <c r="AT9" s="137"/>
      <c r="AU9" s="137"/>
      <c r="AV9" s="137"/>
      <c r="AW9" s="137"/>
      <c r="AX9"/>
      <c r="AZ9"/>
      <c r="BA9"/>
      <c r="BB9"/>
      <c r="BC9"/>
      <c r="BD9"/>
      <c r="BE9"/>
      <c r="BF9"/>
      <c r="BH9"/>
      <c r="BI9"/>
      <c r="BJ9"/>
      <c r="BK9"/>
      <c r="BL9"/>
      <c r="BM9"/>
      <c r="BN9"/>
      <c r="BP9"/>
      <c r="BQ9"/>
      <c r="BR9"/>
      <c r="BS9"/>
      <c r="BT9"/>
      <c r="BU9"/>
      <c r="BV9"/>
      <c r="BX9"/>
      <c r="BY9"/>
      <c r="BZ9"/>
      <c r="CA9"/>
      <c r="CB9"/>
      <c r="CC9"/>
      <c r="CD9"/>
      <c r="CF9"/>
      <c r="CG9"/>
      <c r="CH9"/>
      <c r="CI9"/>
      <c r="CJ9"/>
      <c r="CK9"/>
      <c r="CL9" s="137"/>
      <c r="CN9" s="82"/>
      <c r="CO9" s="82"/>
      <c r="CP9" s="82"/>
      <c r="CQ9" s="82"/>
      <c r="CR9" s="82"/>
      <c r="CS9" s="82"/>
      <c r="CY9" s="137"/>
      <c r="CZ9" s="137"/>
      <c r="DA9" s="137"/>
      <c r="DB9" s="137"/>
      <c r="DC9" s="137"/>
      <c r="DD9" s="137"/>
      <c r="DE9" s="116"/>
    </row>
    <row r="10" spans="1:130" ht="24" customHeight="1" thickBot="1">
      <c r="B10" s="198"/>
      <c r="C10" s="199"/>
      <c r="D10" s="200"/>
      <c r="E10" s="112"/>
      <c r="F10" s="112"/>
      <c r="G10" s="112"/>
      <c r="H10" s="112"/>
      <c r="I10" s="112"/>
      <c r="M10" s="112"/>
      <c r="N10" s="111"/>
      <c r="O10" s="111"/>
      <c r="P10" s="111"/>
      <c r="Q10" s="111"/>
      <c r="R10" s="111"/>
      <c r="T10" s="112"/>
      <c r="U10" s="112"/>
      <c r="AE10" s="138"/>
      <c r="AF10" s="138"/>
      <c r="AX10"/>
      <c r="AZ10"/>
      <c r="BA10"/>
      <c r="BB10"/>
      <c r="BC10"/>
      <c r="BD10"/>
      <c r="BE10"/>
      <c r="BF10"/>
      <c r="BH10"/>
      <c r="BI10"/>
      <c r="BJ10"/>
      <c r="BK10"/>
      <c r="BL10"/>
      <c r="BM10"/>
      <c r="BN10"/>
      <c r="BP10"/>
      <c r="BQ10"/>
      <c r="BR10"/>
      <c r="BS10"/>
      <c r="BT10"/>
      <c r="BU10"/>
      <c r="BV10"/>
      <c r="BX10"/>
      <c r="BY10"/>
      <c r="BZ10"/>
      <c r="CA10"/>
      <c r="CB10"/>
      <c r="CC10"/>
      <c r="CD10"/>
      <c r="CF10"/>
      <c r="CG10"/>
      <c r="CH10"/>
      <c r="CI10"/>
      <c r="CJ10"/>
      <c r="CK10"/>
      <c r="CL10" s="82"/>
      <c r="CN10" s="82"/>
      <c r="CO10" s="137"/>
      <c r="CP10" s="137"/>
      <c r="CQ10" s="142"/>
      <c r="CR10" s="137"/>
      <c r="CS10" s="137"/>
      <c r="DH10" s="138"/>
      <c r="DI10" s="138"/>
      <c r="DL10" s="116"/>
    </row>
    <row r="11" spans="1:130" ht="23.1" customHeight="1" thickBot="1">
      <c r="D11" s="112"/>
      <c r="E11" s="112"/>
      <c r="F11" s="112"/>
      <c r="G11" s="112"/>
      <c r="H11" s="112"/>
      <c r="I11" s="112"/>
      <c r="N11" s="138"/>
      <c r="O11" s="112"/>
      <c r="P11" s="112"/>
      <c r="Q11" s="112"/>
      <c r="R11" s="112"/>
      <c r="T11" s="112"/>
      <c r="U11" s="112"/>
      <c r="V11" s="112"/>
      <c r="W11" s="112"/>
      <c r="X11" s="112"/>
      <c r="Y11" s="112"/>
      <c r="Z11" s="112"/>
      <c r="AB11" s="112"/>
      <c r="AC11" s="112"/>
      <c r="AD11" s="112"/>
      <c r="AE11" s="112"/>
      <c r="AF11" s="112"/>
      <c r="AG11" s="112"/>
      <c r="AH11" s="112"/>
      <c r="AX11"/>
      <c r="AZ11"/>
      <c r="BA11"/>
      <c r="BB11"/>
      <c r="BC11"/>
      <c r="BD11"/>
      <c r="BE11"/>
      <c r="BF11"/>
      <c r="BH11"/>
      <c r="BI11"/>
      <c r="BJ11"/>
      <c r="BK11"/>
      <c r="BL11"/>
      <c r="BM11"/>
      <c r="BN11"/>
      <c r="BP11"/>
      <c r="BQ11"/>
      <c r="BR11"/>
      <c r="BS11"/>
      <c r="BT11"/>
      <c r="BU11"/>
      <c r="BV11"/>
      <c r="BX11"/>
      <c r="BY11"/>
      <c r="BZ11"/>
      <c r="CA11"/>
      <c r="CB11"/>
      <c r="CC11"/>
      <c r="CD11"/>
      <c r="CF11"/>
      <c r="CG11"/>
      <c r="CH11"/>
      <c r="CI11"/>
      <c r="CJ11"/>
      <c r="CK11"/>
      <c r="CL11" s="82"/>
      <c r="CN11" s="82"/>
      <c r="CO11" s="82"/>
      <c r="CP11" s="82"/>
      <c r="CQ11" s="82"/>
      <c r="CR11" s="82"/>
      <c r="CS11" s="82"/>
      <c r="DZ11" s="116"/>
    </row>
    <row r="12" spans="1:130" s="144" customFormat="1" ht="24.95" customHeight="1">
      <c r="B12" s="219" t="s">
        <v>758</v>
      </c>
      <c r="C12" s="220"/>
      <c r="D12" s="227" t="s">
        <v>767</v>
      </c>
      <c r="E12" s="228"/>
      <c r="F12" s="228"/>
      <c r="G12" s="228"/>
      <c r="H12" s="228"/>
      <c r="I12" s="229"/>
      <c r="J12" s="145"/>
      <c r="K12" s="230" t="s">
        <v>759</v>
      </c>
      <c r="L12" s="230"/>
      <c r="M12" s="230"/>
      <c r="N12" s="230"/>
      <c r="O12" s="230"/>
      <c r="P12" s="230"/>
      <c r="Q12" s="146"/>
      <c r="R12" s="237" t="s">
        <v>6</v>
      </c>
      <c r="S12" s="237"/>
      <c r="T12" s="237"/>
      <c r="U12" s="237"/>
      <c r="V12" s="237"/>
      <c r="W12" s="237"/>
      <c r="X12" s="237"/>
      <c r="Z12" s="265" t="s">
        <v>8</v>
      </c>
      <c r="AA12" s="265"/>
      <c r="AB12" s="265"/>
      <c r="AC12" s="265"/>
      <c r="AD12" s="265"/>
      <c r="AE12" s="265"/>
      <c r="AF12" s="265"/>
      <c r="AH12" s="264" t="s">
        <v>7</v>
      </c>
      <c r="AI12" s="264"/>
      <c r="AJ12" s="264"/>
      <c r="AK12" s="264"/>
      <c r="AL12" s="264"/>
      <c r="AM12" s="264"/>
      <c r="AN12" s="264"/>
      <c r="AP12" s="230" t="s">
        <v>33</v>
      </c>
      <c r="AQ12" s="230"/>
      <c r="AR12" s="230"/>
      <c r="AS12" s="230"/>
      <c r="AT12" s="230"/>
      <c r="AU12" s="230"/>
      <c r="AV12" s="230"/>
      <c r="AX12" s="253" t="s">
        <v>442</v>
      </c>
      <c r="AY12" s="253"/>
      <c r="AZ12" s="253"/>
      <c r="BA12" s="253"/>
      <c r="BB12" s="253"/>
      <c r="BC12" s="253"/>
      <c r="BD12" s="253"/>
      <c r="BE12" s="150"/>
      <c r="BF12" s="237" t="s">
        <v>789</v>
      </c>
      <c r="BG12" s="237"/>
      <c r="BH12" s="237"/>
      <c r="BI12" s="237"/>
      <c r="BJ12" s="237"/>
      <c r="BK12" s="237"/>
      <c r="BL12" s="237"/>
      <c r="BN12" s="265" t="s">
        <v>790</v>
      </c>
      <c r="BO12" s="265"/>
      <c r="BP12" s="265"/>
      <c r="BQ12" s="265"/>
      <c r="BR12" s="265"/>
      <c r="BS12" s="265"/>
      <c r="BT12" s="265"/>
      <c r="BV12" s="264" t="s">
        <v>791</v>
      </c>
      <c r="BW12" s="264"/>
      <c r="BX12" s="264"/>
      <c r="BY12" s="264"/>
      <c r="BZ12" s="264"/>
      <c r="CA12" s="264"/>
      <c r="CB12" s="264"/>
      <c r="CD12" s="230" t="s">
        <v>792</v>
      </c>
      <c r="CE12" s="230"/>
      <c r="CF12" s="230"/>
      <c r="CG12" s="230"/>
      <c r="CH12" s="230"/>
      <c r="CI12" s="230"/>
      <c r="CJ12" s="230"/>
      <c r="CL12" s="253" t="s">
        <v>793</v>
      </c>
      <c r="CM12" s="253"/>
      <c r="CN12" s="253"/>
      <c r="CO12" s="253"/>
      <c r="CP12" s="253"/>
      <c r="CQ12" s="253"/>
      <c r="CR12" s="253"/>
      <c r="CS12" s="159"/>
      <c r="CT12" s="246" t="s">
        <v>29</v>
      </c>
      <c r="CU12" s="247"/>
      <c r="CV12" s="247"/>
      <c r="CW12" s="247"/>
      <c r="CX12" s="248"/>
    </row>
    <row r="13" spans="1:130" ht="22.5" customHeight="1" thickBot="1">
      <c r="A13" s="118" t="s">
        <v>9</v>
      </c>
      <c r="B13" s="221"/>
      <c r="C13" s="222"/>
      <c r="D13" s="118" t="s">
        <v>9</v>
      </c>
      <c r="E13" s="119" t="s">
        <v>3</v>
      </c>
      <c r="F13" s="119" t="s">
        <v>0</v>
      </c>
      <c r="G13" s="119" t="s">
        <v>21</v>
      </c>
      <c r="H13" s="119"/>
      <c r="I13" s="119" t="s">
        <v>14</v>
      </c>
      <c r="J13" s="147"/>
      <c r="K13" s="79" t="s">
        <v>766</v>
      </c>
      <c r="L13" s="132" t="s">
        <v>4</v>
      </c>
      <c r="M13" s="120" t="s">
        <v>770</v>
      </c>
      <c r="N13" s="120" t="s">
        <v>5</v>
      </c>
      <c r="O13" s="91" t="s">
        <v>28</v>
      </c>
      <c r="P13" s="108" t="s">
        <v>32</v>
      </c>
      <c r="Q13" s="98"/>
      <c r="R13" s="79" t="s">
        <v>766</v>
      </c>
      <c r="S13" s="132" t="s">
        <v>4</v>
      </c>
      <c r="T13" s="120" t="s">
        <v>770</v>
      </c>
      <c r="U13" s="120" t="s">
        <v>5</v>
      </c>
      <c r="V13" s="91" t="s">
        <v>28</v>
      </c>
      <c r="W13" s="108" t="s">
        <v>32</v>
      </c>
      <c r="X13" s="121" t="s">
        <v>761</v>
      </c>
      <c r="Z13" s="79" t="s">
        <v>766</v>
      </c>
      <c r="AA13" s="132" t="s">
        <v>4</v>
      </c>
      <c r="AB13" s="120" t="s">
        <v>770</v>
      </c>
      <c r="AC13" s="120" t="s">
        <v>5</v>
      </c>
      <c r="AD13" s="91" t="s">
        <v>28</v>
      </c>
      <c r="AE13" s="108" t="s">
        <v>32</v>
      </c>
      <c r="AF13" s="121" t="s">
        <v>761</v>
      </c>
      <c r="AH13" s="79" t="s">
        <v>766</v>
      </c>
      <c r="AI13" s="132" t="s">
        <v>4</v>
      </c>
      <c r="AJ13" s="120" t="s">
        <v>770</v>
      </c>
      <c r="AK13" s="120" t="s">
        <v>5</v>
      </c>
      <c r="AL13" s="91" t="s">
        <v>28</v>
      </c>
      <c r="AM13" s="108" t="s">
        <v>32</v>
      </c>
      <c r="AN13" s="121" t="s">
        <v>761</v>
      </c>
      <c r="AP13" s="79" t="s">
        <v>766</v>
      </c>
      <c r="AQ13" s="132" t="s">
        <v>4</v>
      </c>
      <c r="AR13" s="120" t="s">
        <v>770</v>
      </c>
      <c r="AS13" s="120" t="s">
        <v>5</v>
      </c>
      <c r="AT13" s="91" t="s">
        <v>28</v>
      </c>
      <c r="AU13" s="108" t="s">
        <v>32</v>
      </c>
      <c r="AV13" s="121" t="s">
        <v>761</v>
      </c>
      <c r="AX13" s="79" t="s">
        <v>766</v>
      </c>
      <c r="AY13" s="132" t="s">
        <v>4</v>
      </c>
      <c r="AZ13" s="120" t="s">
        <v>770</v>
      </c>
      <c r="BA13" s="120" t="s">
        <v>5</v>
      </c>
      <c r="BB13" s="91" t="s">
        <v>28</v>
      </c>
      <c r="BC13" s="108" t="s">
        <v>32</v>
      </c>
      <c r="BD13" s="121" t="s">
        <v>761</v>
      </c>
      <c r="BE13" s="151"/>
      <c r="BF13" s="79" t="s">
        <v>766</v>
      </c>
      <c r="BG13" s="132" t="s">
        <v>4</v>
      </c>
      <c r="BH13" s="120" t="s">
        <v>770</v>
      </c>
      <c r="BI13" s="120" t="s">
        <v>5</v>
      </c>
      <c r="BJ13" s="91" t="s">
        <v>28</v>
      </c>
      <c r="BK13" s="108" t="s">
        <v>32</v>
      </c>
      <c r="BL13" s="121" t="s">
        <v>761</v>
      </c>
      <c r="BM13" s="82"/>
      <c r="BN13" s="79" t="s">
        <v>766</v>
      </c>
      <c r="BO13" s="132" t="s">
        <v>4</v>
      </c>
      <c r="BP13" s="120" t="s">
        <v>770</v>
      </c>
      <c r="BQ13" s="120" t="s">
        <v>5</v>
      </c>
      <c r="BR13" s="91" t="s">
        <v>28</v>
      </c>
      <c r="BS13" s="108" t="s">
        <v>32</v>
      </c>
      <c r="BT13" s="121" t="s">
        <v>761</v>
      </c>
      <c r="BU13" s="82"/>
      <c r="BV13" s="79" t="s">
        <v>766</v>
      </c>
      <c r="BW13" s="132" t="s">
        <v>4</v>
      </c>
      <c r="BX13" s="120" t="s">
        <v>770</v>
      </c>
      <c r="BY13" s="120" t="s">
        <v>5</v>
      </c>
      <c r="BZ13" s="91" t="s">
        <v>28</v>
      </c>
      <c r="CA13" s="108" t="s">
        <v>32</v>
      </c>
      <c r="CB13" s="121" t="s">
        <v>761</v>
      </c>
      <c r="CC13" s="82"/>
      <c r="CD13" s="79" t="s">
        <v>766</v>
      </c>
      <c r="CE13" s="132" t="s">
        <v>4</v>
      </c>
      <c r="CF13" s="120" t="s">
        <v>770</v>
      </c>
      <c r="CG13" s="120" t="s">
        <v>5</v>
      </c>
      <c r="CH13" s="91" t="s">
        <v>28</v>
      </c>
      <c r="CI13" s="108" t="s">
        <v>32</v>
      </c>
      <c r="CJ13" s="121" t="s">
        <v>761</v>
      </c>
      <c r="CK13" s="82"/>
      <c r="CL13" s="79" t="s">
        <v>766</v>
      </c>
      <c r="CM13" s="132" t="s">
        <v>4</v>
      </c>
      <c r="CN13" s="120" t="s">
        <v>770</v>
      </c>
      <c r="CO13" s="120" t="s">
        <v>5</v>
      </c>
      <c r="CP13" s="91" t="s">
        <v>28</v>
      </c>
      <c r="CQ13" s="108" t="s">
        <v>32</v>
      </c>
      <c r="CR13" s="121" t="s">
        <v>761</v>
      </c>
      <c r="CS13" s="160"/>
      <c r="CT13" s="79" t="s">
        <v>766</v>
      </c>
      <c r="CU13" s="89" t="s">
        <v>4</v>
      </c>
      <c r="CV13" s="90" t="s">
        <v>794</v>
      </c>
      <c r="CW13" s="90" t="s">
        <v>795</v>
      </c>
      <c r="CX13" s="120" t="s">
        <v>32</v>
      </c>
    </row>
    <row r="14" spans="1:130" ht="26.25" customHeight="1">
      <c r="A14" s="83">
        <v>1</v>
      </c>
      <c r="B14" s="188"/>
      <c r="C14" s="188"/>
      <c r="D14" s="83">
        <v>1</v>
      </c>
      <c r="E14" s="122" t="s">
        <v>10</v>
      </c>
      <c r="F14" s="123" t="str">
        <f>INDEX(Table_Name[Name list],MATCH(E14,Table_Name[category],0))</f>
        <v>صدر_علوي[التمرين]</v>
      </c>
      <c r="G14" s="124" t="s">
        <v>54</v>
      </c>
      <c r="H14" s="95" t="str">
        <f>INDEX(Links[الرابط],MATCH(G14,Links[التمرين],0))</f>
        <v>https://www.youtube.com/watch?v=5CECBjd7HLQ&amp;list=PLyqKj7LwU2RuyZwWCIiDHuFZGN11QW3Ff&amp;index=13</v>
      </c>
      <c r="I14" s="125" t="str">
        <f>HYPERLINK(H14,"Watch")</f>
        <v>Watch</v>
      </c>
      <c r="K14" s="80" t="str">
        <f t="shared" ref="K14:K19" si="0">G14</f>
        <v>Dumbbell incline chest press</v>
      </c>
      <c r="L14" s="97">
        <v>3</v>
      </c>
      <c r="M14" s="103" t="s">
        <v>812</v>
      </c>
      <c r="N14" s="100"/>
      <c r="O14" s="104"/>
      <c r="P14" s="109" t="s">
        <v>771</v>
      </c>
      <c r="Q14" s="94"/>
      <c r="R14" s="80" t="str">
        <f t="shared" ref="R14:R19" si="1">G14</f>
        <v>Dumbbell incline chest press</v>
      </c>
      <c r="S14" s="97">
        <v>4</v>
      </c>
      <c r="T14" s="102" t="str">
        <f>M14</f>
        <v>6-12</v>
      </c>
      <c r="U14" s="100"/>
      <c r="V14" s="104"/>
      <c r="W14" s="149" t="str">
        <f>P14</f>
        <v>60-120 ثانية</v>
      </c>
      <c r="X14" s="107"/>
      <c r="Z14" s="80" t="str">
        <f t="shared" ref="Z14:Z19" si="2">G14</f>
        <v>Dumbbell incline chest press</v>
      </c>
      <c r="AA14" s="97">
        <v>4</v>
      </c>
      <c r="AB14" s="102" t="str">
        <f>M14</f>
        <v>6-12</v>
      </c>
      <c r="AC14" s="100"/>
      <c r="AD14" s="104"/>
      <c r="AE14" s="149" t="str">
        <f>P14</f>
        <v>60-120 ثانية</v>
      </c>
      <c r="AF14" s="107"/>
      <c r="AH14" s="80" t="str">
        <f t="shared" ref="AH14:AH19" si="3">G14</f>
        <v>Dumbbell incline chest press</v>
      </c>
      <c r="AI14" s="97">
        <v>4</v>
      </c>
      <c r="AJ14" s="102" t="str">
        <f>M14</f>
        <v>6-12</v>
      </c>
      <c r="AK14" s="100"/>
      <c r="AL14" s="104"/>
      <c r="AM14" s="149" t="str">
        <f>P14</f>
        <v>60-120 ثانية</v>
      </c>
      <c r="AN14" s="107"/>
      <c r="AP14" s="80" t="str">
        <f t="shared" ref="AP14:AP19" si="4">G14</f>
        <v>Dumbbell incline chest press</v>
      </c>
      <c r="AQ14" s="97">
        <v>4</v>
      </c>
      <c r="AR14" s="102" t="str">
        <f>M14</f>
        <v>6-12</v>
      </c>
      <c r="AS14" s="100"/>
      <c r="AT14" s="104"/>
      <c r="AU14" s="149" t="str">
        <f>P14</f>
        <v>60-120 ثانية</v>
      </c>
      <c r="AV14" s="107"/>
      <c r="AX14" s="80" t="str">
        <f>G14</f>
        <v>Dumbbell incline chest press</v>
      </c>
      <c r="AY14" s="97">
        <v>4</v>
      </c>
      <c r="AZ14" s="102" t="str">
        <f>M14</f>
        <v>6-12</v>
      </c>
      <c r="BA14" s="100"/>
      <c r="BB14" s="104"/>
      <c r="BC14" s="149" t="str">
        <f>P14</f>
        <v>60-120 ثانية</v>
      </c>
      <c r="BD14" s="107"/>
      <c r="BE14" s="138"/>
      <c r="BF14" s="80" t="str">
        <f>G14</f>
        <v>Dumbbell incline chest press</v>
      </c>
      <c r="BG14" s="97">
        <v>4</v>
      </c>
      <c r="BH14" s="102" t="str">
        <f>M14</f>
        <v>6-12</v>
      </c>
      <c r="BI14" s="161"/>
      <c r="BJ14" s="162"/>
      <c r="BK14" s="149" t="str">
        <f>P14</f>
        <v>60-120 ثانية</v>
      </c>
      <c r="BL14" s="107"/>
      <c r="BM14" s="82"/>
      <c r="BN14" s="80" t="str">
        <f>G14</f>
        <v>Dumbbell incline chest press</v>
      </c>
      <c r="BO14" s="97">
        <v>4</v>
      </c>
      <c r="BP14" s="102" t="str">
        <f>M14</f>
        <v>6-12</v>
      </c>
      <c r="BQ14" s="161"/>
      <c r="BR14" s="162"/>
      <c r="BS14" s="149" t="str">
        <f>P14</f>
        <v>60-120 ثانية</v>
      </c>
      <c r="BT14" s="107"/>
      <c r="BU14" s="82"/>
      <c r="BV14" s="80" t="str">
        <f>G14</f>
        <v>Dumbbell incline chest press</v>
      </c>
      <c r="BW14" s="97">
        <v>4</v>
      </c>
      <c r="BX14" s="102" t="str">
        <f>M14</f>
        <v>6-12</v>
      </c>
      <c r="BY14" s="161"/>
      <c r="BZ14" s="162"/>
      <c r="CA14" s="149" t="str">
        <f>P14</f>
        <v>60-120 ثانية</v>
      </c>
      <c r="CB14" s="107"/>
      <c r="CC14" s="82"/>
      <c r="CD14" s="80" t="str">
        <f>G14</f>
        <v>Dumbbell incline chest press</v>
      </c>
      <c r="CE14" s="97">
        <v>4</v>
      </c>
      <c r="CF14" s="102" t="str">
        <f>M14</f>
        <v>6-12</v>
      </c>
      <c r="CG14" s="161"/>
      <c r="CH14" s="162"/>
      <c r="CI14" s="149" t="str">
        <f>P14</f>
        <v>60-120 ثانية</v>
      </c>
      <c r="CJ14" s="107"/>
      <c r="CK14" s="82"/>
      <c r="CL14" s="80" t="str">
        <f>G14</f>
        <v>Dumbbell incline chest press</v>
      </c>
      <c r="CM14" s="97">
        <v>4</v>
      </c>
      <c r="CN14" s="102" t="str">
        <f>M14</f>
        <v>6-12</v>
      </c>
      <c r="CO14" s="161"/>
      <c r="CP14" s="162"/>
      <c r="CQ14" s="149" t="str">
        <f>P14</f>
        <v>60-120 ثانية</v>
      </c>
      <c r="CR14" s="107"/>
      <c r="CS14" s="137"/>
      <c r="CT14" s="80" t="str">
        <f t="shared" ref="CT14:CT19" si="5">G14</f>
        <v>Dumbbell incline chest press</v>
      </c>
      <c r="CU14" s="95">
        <v>2</v>
      </c>
      <c r="CV14" s="163"/>
      <c r="CW14" s="164"/>
      <c r="CX14" s="249" t="s">
        <v>34</v>
      </c>
      <c r="CY14" s="138"/>
    </row>
    <row r="15" spans="1:130" ht="26.25" customHeight="1">
      <c r="A15" s="122">
        <v>2</v>
      </c>
      <c r="B15" s="188"/>
      <c r="C15" s="188"/>
      <c r="D15" s="122">
        <v>2</v>
      </c>
      <c r="E15" s="122" t="s">
        <v>16</v>
      </c>
      <c r="F15" s="123" t="str">
        <f>INDEX(Table_Name[Name list],MATCH(E15,Table_Name[category],0))</f>
        <v>صدر_مستوي[التمرين]</v>
      </c>
      <c r="G15" s="124" t="s">
        <v>197</v>
      </c>
      <c r="H15" s="95" t="str">
        <f>INDEX(Links[الرابط],MATCH(G15,Links[التمرين],0))</f>
        <v>https://www.youtube.com/watch?v=YQ2s_Y7g5Qk&amp;list=PLyqKj7LwU2RuyZwWCIiDHuFZGN11QW3Ff&amp;index=6</v>
      </c>
      <c r="I15" s="125" t="str">
        <f t="shared" ref="I15:I19" si="6">HYPERLINK(H15,"Watch")</f>
        <v>Watch</v>
      </c>
      <c r="K15" s="80" t="str">
        <f t="shared" si="0"/>
        <v>Dumbbell chest press</v>
      </c>
      <c r="L15" s="97">
        <v>3</v>
      </c>
      <c r="M15" s="103" t="s">
        <v>812</v>
      </c>
      <c r="N15" s="100"/>
      <c r="O15" s="105"/>
      <c r="P15" s="109" t="s">
        <v>771</v>
      </c>
      <c r="Q15" s="94"/>
      <c r="R15" s="80" t="str">
        <f t="shared" si="1"/>
        <v>Dumbbell chest press</v>
      </c>
      <c r="S15" s="97">
        <v>3</v>
      </c>
      <c r="T15" s="102" t="str">
        <f t="shared" ref="T15:T19" si="7">M15</f>
        <v>6-12</v>
      </c>
      <c r="U15" s="100"/>
      <c r="V15" s="105"/>
      <c r="W15" s="149" t="str">
        <f>P15</f>
        <v>60-120 ثانية</v>
      </c>
      <c r="X15" s="107"/>
      <c r="Z15" s="80" t="str">
        <f t="shared" si="2"/>
        <v>Dumbbell chest press</v>
      </c>
      <c r="AA15" s="97">
        <v>3</v>
      </c>
      <c r="AB15" s="102" t="str">
        <f t="shared" ref="AB15:AB19" si="8">M15</f>
        <v>6-12</v>
      </c>
      <c r="AC15" s="100"/>
      <c r="AD15" s="105"/>
      <c r="AE15" s="149" t="str">
        <f>P15</f>
        <v>60-120 ثانية</v>
      </c>
      <c r="AF15" s="107"/>
      <c r="AH15" s="80" t="str">
        <f t="shared" si="3"/>
        <v>Dumbbell chest press</v>
      </c>
      <c r="AI15" s="97">
        <v>4</v>
      </c>
      <c r="AJ15" s="102" t="str">
        <f t="shared" ref="AJ15:AJ19" si="9">M15</f>
        <v>6-12</v>
      </c>
      <c r="AK15" s="100"/>
      <c r="AL15" s="105"/>
      <c r="AM15" s="149" t="str">
        <f>P15</f>
        <v>60-120 ثانية</v>
      </c>
      <c r="AN15" s="107"/>
      <c r="AP15" s="80" t="str">
        <f t="shared" si="4"/>
        <v>Dumbbell chest press</v>
      </c>
      <c r="AQ15" s="97">
        <v>4</v>
      </c>
      <c r="AR15" s="102" t="str">
        <f t="shared" ref="AR15:AR19" si="10">M15</f>
        <v>6-12</v>
      </c>
      <c r="AS15" s="100"/>
      <c r="AT15" s="105"/>
      <c r="AU15" s="149" t="str">
        <f>P15</f>
        <v>60-120 ثانية</v>
      </c>
      <c r="AV15" s="107"/>
      <c r="AX15" s="80" t="str">
        <f t="shared" ref="AX15:AX19" si="11">G15</f>
        <v>Dumbbell chest press</v>
      </c>
      <c r="AY15" s="97">
        <v>4</v>
      </c>
      <c r="AZ15" s="102" t="str">
        <f t="shared" ref="AZ15:AZ19" si="12">M15</f>
        <v>6-12</v>
      </c>
      <c r="BA15" s="100"/>
      <c r="BB15" s="105"/>
      <c r="BC15" s="149" t="str">
        <f t="shared" ref="BC15:BC19" si="13">P15</f>
        <v>60-120 ثانية</v>
      </c>
      <c r="BD15" s="107"/>
      <c r="BE15" s="138"/>
      <c r="BF15" s="80" t="str">
        <f t="shared" ref="BF15:BF19" si="14">G15</f>
        <v>Dumbbell chest press</v>
      </c>
      <c r="BG15" s="97">
        <v>4</v>
      </c>
      <c r="BH15" s="102" t="str">
        <f t="shared" ref="BH15:BH19" si="15">M15</f>
        <v>6-12</v>
      </c>
      <c r="BI15" s="161"/>
      <c r="BJ15" s="165"/>
      <c r="BK15" s="149" t="str">
        <f t="shared" ref="BK15:BK19" si="16">P15</f>
        <v>60-120 ثانية</v>
      </c>
      <c r="BL15" s="107"/>
      <c r="BM15" s="82"/>
      <c r="BN15" s="80" t="str">
        <f t="shared" ref="BN15:BN19" si="17">G15</f>
        <v>Dumbbell chest press</v>
      </c>
      <c r="BO15" s="97">
        <v>4</v>
      </c>
      <c r="BP15" s="102" t="str">
        <f t="shared" ref="BP15:BP19" si="18">M15</f>
        <v>6-12</v>
      </c>
      <c r="BQ15" s="161"/>
      <c r="BR15" s="165"/>
      <c r="BS15" s="149" t="str">
        <f t="shared" ref="BS15:BS19" si="19">P15</f>
        <v>60-120 ثانية</v>
      </c>
      <c r="BT15" s="107"/>
      <c r="BU15" s="82"/>
      <c r="BV15" s="80" t="str">
        <f t="shared" ref="BV15:BV19" si="20">G15</f>
        <v>Dumbbell chest press</v>
      </c>
      <c r="BW15" s="97">
        <v>4</v>
      </c>
      <c r="BX15" s="102" t="str">
        <f t="shared" ref="BX15:BX19" si="21">M15</f>
        <v>6-12</v>
      </c>
      <c r="BY15" s="161"/>
      <c r="BZ15" s="165"/>
      <c r="CA15" s="149" t="str">
        <f t="shared" ref="CA15:CA19" si="22">P15</f>
        <v>60-120 ثانية</v>
      </c>
      <c r="CB15" s="107"/>
      <c r="CC15" s="82"/>
      <c r="CD15" s="80" t="str">
        <f t="shared" ref="CD15:CD19" si="23">G15</f>
        <v>Dumbbell chest press</v>
      </c>
      <c r="CE15" s="97">
        <v>4</v>
      </c>
      <c r="CF15" s="102" t="str">
        <f t="shared" ref="CF15:CF19" si="24">M15</f>
        <v>6-12</v>
      </c>
      <c r="CG15" s="161"/>
      <c r="CH15" s="165"/>
      <c r="CI15" s="149" t="str">
        <f t="shared" ref="CI15:CI18" si="25">P15</f>
        <v>60-120 ثانية</v>
      </c>
      <c r="CJ15" s="107"/>
      <c r="CK15" s="82"/>
      <c r="CL15" s="80" t="str">
        <f t="shared" ref="CL15:CL19" si="26">G15</f>
        <v>Dumbbell chest press</v>
      </c>
      <c r="CM15" s="97">
        <v>4</v>
      </c>
      <c r="CN15" s="102" t="str">
        <f t="shared" ref="CN15:CN19" si="27">M15</f>
        <v>6-12</v>
      </c>
      <c r="CO15" s="161"/>
      <c r="CP15" s="165"/>
      <c r="CQ15" s="149" t="str">
        <f t="shared" ref="CQ15:CQ19" si="28">P15</f>
        <v>60-120 ثانية</v>
      </c>
      <c r="CR15" s="107"/>
      <c r="CS15" s="137"/>
      <c r="CT15" s="80" t="str">
        <f t="shared" si="5"/>
        <v>Dumbbell chest press</v>
      </c>
      <c r="CU15" s="166">
        <v>2</v>
      </c>
      <c r="CV15" s="167"/>
      <c r="CW15" s="168"/>
      <c r="CX15" s="250"/>
      <c r="CY15" s="138"/>
    </row>
    <row r="16" spans="1:130" ht="26.25" customHeight="1">
      <c r="A16" s="122">
        <v>3</v>
      </c>
      <c r="B16" s="188"/>
      <c r="C16" s="188"/>
      <c r="D16" s="122">
        <v>3</v>
      </c>
      <c r="E16" s="122" t="s">
        <v>129</v>
      </c>
      <c r="F16" s="123" t="str">
        <f>INDEX(Table_Name[Name list],MATCH(E16,Table_Name[category],0))</f>
        <v>أكتاف_أمامي[التمرين]</v>
      </c>
      <c r="G16" s="124" t="s">
        <v>135</v>
      </c>
      <c r="H16" s="95" t="str">
        <f>INDEX(Links[الرابط],MATCH(G16,Links[التمرين],0))</f>
        <v>https://www.youtube.com/watch?v=HzIiNhHhhtA&amp;list=PLyqKj7LwU2RtjiVutSXk5uC2h7KVMu1Az&amp;index=7</v>
      </c>
      <c r="I16" s="125" t="str">
        <f t="shared" ref="I16" si="29">HYPERLINK(H16,"Watch")</f>
        <v>Watch</v>
      </c>
      <c r="K16" s="80" t="str">
        <f t="shared" ref="K16" si="30">G16</f>
        <v>Seated dumbbell shoulder press</v>
      </c>
      <c r="L16" s="97">
        <v>3</v>
      </c>
      <c r="M16" s="103" t="s">
        <v>812</v>
      </c>
      <c r="N16" s="100"/>
      <c r="O16" s="105"/>
      <c r="P16" s="109" t="s">
        <v>771</v>
      </c>
      <c r="Q16" s="94"/>
      <c r="R16" s="80" t="str">
        <f t="shared" ref="R16" si="31">G16</f>
        <v>Seated dumbbell shoulder press</v>
      </c>
      <c r="S16" s="97">
        <v>3</v>
      </c>
      <c r="T16" s="102" t="str">
        <f t="shared" ref="T16" si="32">M16</f>
        <v>6-12</v>
      </c>
      <c r="U16" s="100"/>
      <c r="V16" s="105"/>
      <c r="W16" s="109" t="str">
        <f t="shared" ref="W16" si="33">P16</f>
        <v>60-120 ثانية</v>
      </c>
      <c r="X16" s="107"/>
      <c r="Z16" s="80" t="str">
        <f t="shared" ref="Z16" si="34">G16</f>
        <v>Seated dumbbell shoulder press</v>
      </c>
      <c r="AA16" s="97">
        <v>4</v>
      </c>
      <c r="AB16" s="102" t="str">
        <f t="shared" ref="AB16" si="35">M16</f>
        <v>6-12</v>
      </c>
      <c r="AC16" s="100"/>
      <c r="AD16" s="105"/>
      <c r="AE16" s="109" t="str">
        <f t="shared" ref="AE16" si="36">P16</f>
        <v>60-120 ثانية</v>
      </c>
      <c r="AF16" s="107"/>
      <c r="AH16" s="80" t="str">
        <f t="shared" ref="AH16" si="37">G16</f>
        <v>Seated dumbbell shoulder press</v>
      </c>
      <c r="AI16" s="97">
        <v>4</v>
      </c>
      <c r="AJ16" s="102" t="str">
        <f t="shared" ref="AJ16" si="38">M16</f>
        <v>6-12</v>
      </c>
      <c r="AK16" s="100"/>
      <c r="AL16" s="105"/>
      <c r="AM16" s="109" t="str">
        <f t="shared" ref="AM16" si="39">P16</f>
        <v>60-120 ثانية</v>
      </c>
      <c r="AN16" s="107"/>
      <c r="AP16" s="80" t="str">
        <f t="shared" ref="AP16" si="40">G16</f>
        <v>Seated dumbbell shoulder press</v>
      </c>
      <c r="AQ16" s="97">
        <v>4</v>
      </c>
      <c r="AR16" s="102" t="str">
        <f t="shared" ref="AR16" si="41">M16</f>
        <v>6-12</v>
      </c>
      <c r="AS16" s="100"/>
      <c r="AT16" s="105"/>
      <c r="AU16" s="109" t="str">
        <f t="shared" ref="AU16" si="42">P16</f>
        <v>60-120 ثانية</v>
      </c>
      <c r="AV16" s="107"/>
      <c r="AX16" s="80" t="str">
        <f t="shared" ref="AX16" si="43">G16</f>
        <v>Seated dumbbell shoulder press</v>
      </c>
      <c r="AY16" s="97">
        <v>4</v>
      </c>
      <c r="AZ16" s="102" t="str">
        <f t="shared" ref="AZ16" si="44">M16</f>
        <v>6-12</v>
      </c>
      <c r="BA16" s="100"/>
      <c r="BB16" s="105"/>
      <c r="BC16" s="149" t="str">
        <f t="shared" ref="BC16" si="45">P16</f>
        <v>60-120 ثانية</v>
      </c>
      <c r="BD16" s="107"/>
      <c r="BE16" s="138"/>
      <c r="BF16" s="80" t="str">
        <f t="shared" ref="BF16" si="46">G16</f>
        <v>Seated dumbbell shoulder press</v>
      </c>
      <c r="BG16" s="97">
        <v>4</v>
      </c>
      <c r="BH16" s="102" t="str">
        <f t="shared" ref="BH16" si="47">M16</f>
        <v>6-12</v>
      </c>
      <c r="BI16" s="161"/>
      <c r="BJ16" s="165"/>
      <c r="BK16" s="149" t="str">
        <f t="shared" ref="BK16" si="48">P16</f>
        <v>60-120 ثانية</v>
      </c>
      <c r="BL16" s="107"/>
      <c r="BM16" s="82"/>
      <c r="BN16" s="80" t="str">
        <f t="shared" ref="BN16" si="49">G16</f>
        <v>Seated dumbbell shoulder press</v>
      </c>
      <c r="BO16" s="97">
        <v>4</v>
      </c>
      <c r="BP16" s="102" t="str">
        <f t="shared" ref="BP16" si="50">M16</f>
        <v>6-12</v>
      </c>
      <c r="BQ16" s="161"/>
      <c r="BR16" s="165"/>
      <c r="BS16" s="149" t="str">
        <f t="shared" ref="BS16" si="51">P16</f>
        <v>60-120 ثانية</v>
      </c>
      <c r="BT16" s="107"/>
      <c r="BU16" s="82"/>
      <c r="BV16" s="80" t="str">
        <f t="shared" ref="BV16" si="52">G16</f>
        <v>Seated dumbbell shoulder press</v>
      </c>
      <c r="BW16" s="97">
        <v>4</v>
      </c>
      <c r="BX16" s="102" t="str">
        <f t="shared" ref="BX16" si="53">M16</f>
        <v>6-12</v>
      </c>
      <c r="BY16" s="161"/>
      <c r="BZ16" s="165"/>
      <c r="CA16" s="149" t="str">
        <f t="shared" ref="CA16" si="54">P16</f>
        <v>60-120 ثانية</v>
      </c>
      <c r="CB16" s="107"/>
      <c r="CC16" s="82"/>
      <c r="CD16" s="80" t="str">
        <f t="shared" ref="CD16" si="55">G16</f>
        <v>Seated dumbbell shoulder press</v>
      </c>
      <c r="CE16" s="97">
        <v>4</v>
      </c>
      <c r="CF16" s="102" t="str">
        <f t="shared" ref="CF16" si="56">M16</f>
        <v>6-12</v>
      </c>
      <c r="CG16" s="161"/>
      <c r="CH16" s="165"/>
      <c r="CI16" s="149" t="str">
        <f t="shared" ref="CI16" si="57">P16</f>
        <v>60-120 ثانية</v>
      </c>
      <c r="CJ16" s="107"/>
      <c r="CK16" s="82"/>
      <c r="CL16" s="80" t="str">
        <f t="shared" ref="CL16" si="58">G16</f>
        <v>Seated dumbbell shoulder press</v>
      </c>
      <c r="CM16" s="97">
        <v>4</v>
      </c>
      <c r="CN16" s="102" t="str">
        <f t="shared" ref="CN16" si="59">M16</f>
        <v>6-12</v>
      </c>
      <c r="CO16" s="161"/>
      <c r="CP16" s="165"/>
      <c r="CQ16" s="149" t="str">
        <f t="shared" ref="CQ16" si="60">P16</f>
        <v>60-120 ثانية</v>
      </c>
      <c r="CR16" s="107"/>
      <c r="CS16" s="137"/>
      <c r="CT16" s="80" t="str">
        <f t="shared" ref="CT16" si="61">G16</f>
        <v>Seated dumbbell shoulder press</v>
      </c>
      <c r="CU16" s="166">
        <v>2</v>
      </c>
      <c r="CV16" s="167"/>
      <c r="CW16" s="168"/>
      <c r="CX16" s="250"/>
      <c r="CY16" s="138"/>
    </row>
    <row r="17" spans="1:103" ht="26.25" customHeight="1">
      <c r="A17" s="122">
        <v>4</v>
      </c>
      <c r="B17" s="188"/>
      <c r="C17" s="188"/>
      <c r="D17" s="122">
        <v>4</v>
      </c>
      <c r="E17" s="122" t="s">
        <v>773</v>
      </c>
      <c r="F17" s="123" t="str">
        <f>INDEX(Table_Name[Name list],MATCH(E17,Table_Name[category],0))</f>
        <v>اكتاف_جانبي[التمرين]</v>
      </c>
      <c r="G17" s="124" t="s">
        <v>421</v>
      </c>
      <c r="H17" s="95" t="str">
        <f>INDEX(Links[الرابط],MATCH(G17,Links[التمرين],0))</f>
        <v>https://vimeo.com/378230956</v>
      </c>
      <c r="I17" s="125" t="str">
        <f t="shared" si="6"/>
        <v>Watch</v>
      </c>
      <c r="K17" s="80" t="str">
        <f t="shared" si="0"/>
        <v>Dumbbell seated lateral raises</v>
      </c>
      <c r="L17" s="97">
        <v>3</v>
      </c>
      <c r="M17" s="103" t="s">
        <v>812</v>
      </c>
      <c r="N17" s="100"/>
      <c r="O17" s="105"/>
      <c r="P17" s="109" t="s">
        <v>771</v>
      </c>
      <c r="Q17" s="94"/>
      <c r="R17" s="80" t="str">
        <f t="shared" si="1"/>
        <v>Dumbbell seated lateral raises</v>
      </c>
      <c r="S17" s="97">
        <v>3</v>
      </c>
      <c r="T17" s="102" t="str">
        <f t="shared" si="7"/>
        <v>6-12</v>
      </c>
      <c r="U17" s="100"/>
      <c r="V17" s="105"/>
      <c r="W17" s="109" t="str">
        <f t="shared" ref="W17:W19" si="62">P17</f>
        <v>60-120 ثانية</v>
      </c>
      <c r="X17" s="107"/>
      <c r="Z17" s="80" t="str">
        <f t="shared" si="2"/>
        <v>Dumbbell seated lateral raises</v>
      </c>
      <c r="AA17" s="97">
        <v>3</v>
      </c>
      <c r="AB17" s="102" t="str">
        <f t="shared" si="8"/>
        <v>6-12</v>
      </c>
      <c r="AC17" s="100"/>
      <c r="AD17" s="105"/>
      <c r="AE17" s="109" t="str">
        <f t="shared" ref="AE17:AE19" si="63">P17</f>
        <v>60-120 ثانية</v>
      </c>
      <c r="AF17" s="107"/>
      <c r="AH17" s="80" t="str">
        <f t="shared" si="3"/>
        <v>Dumbbell seated lateral raises</v>
      </c>
      <c r="AI17" s="97">
        <v>3</v>
      </c>
      <c r="AJ17" s="102" t="str">
        <f t="shared" si="9"/>
        <v>6-12</v>
      </c>
      <c r="AK17" s="100"/>
      <c r="AL17" s="105"/>
      <c r="AM17" s="109" t="str">
        <f t="shared" ref="AM17:AM19" si="64">P17</f>
        <v>60-120 ثانية</v>
      </c>
      <c r="AN17" s="107"/>
      <c r="AP17" s="80" t="str">
        <f t="shared" si="4"/>
        <v>Dumbbell seated lateral raises</v>
      </c>
      <c r="AQ17" s="97">
        <v>3</v>
      </c>
      <c r="AR17" s="102" t="str">
        <f t="shared" si="10"/>
        <v>6-12</v>
      </c>
      <c r="AS17" s="100"/>
      <c r="AT17" s="105"/>
      <c r="AU17" s="109" t="str">
        <f t="shared" ref="AU17:AU19" si="65">P17</f>
        <v>60-120 ثانية</v>
      </c>
      <c r="AV17" s="107"/>
      <c r="AX17" s="80" t="str">
        <f t="shared" si="11"/>
        <v>Dumbbell seated lateral raises</v>
      </c>
      <c r="AY17" s="97">
        <v>3</v>
      </c>
      <c r="AZ17" s="102" t="str">
        <f t="shared" si="12"/>
        <v>6-12</v>
      </c>
      <c r="BA17" s="100"/>
      <c r="BB17" s="105"/>
      <c r="BC17" s="149" t="str">
        <f t="shared" si="13"/>
        <v>60-120 ثانية</v>
      </c>
      <c r="BD17" s="107"/>
      <c r="BE17" s="138"/>
      <c r="BF17" s="80" t="str">
        <f t="shared" si="14"/>
        <v>Dumbbell seated lateral raises</v>
      </c>
      <c r="BG17" s="97">
        <v>3</v>
      </c>
      <c r="BH17" s="102" t="str">
        <f t="shared" si="15"/>
        <v>6-12</v>
      </c>
      <c r="BI17" s="161"/>
      <c r="BJ17" s="165"/>
      <c r="BK17" s="149" t="str">
        <f t="shared" si="16"/>
        <v>60-120 ثانية</v>
      </c>
      <c r="BL17" s="107"/>
      <c r="BM17" s="82"/>
      <c r="BN17" s="80" t="str">
        <f t="shared" si="17"/>
        <v>Dumbbell seated lateral raises</v>
      </c>
      <c r="BO17" s="97">
        <v>3</v>
      </c>
      <c r="BP17" s="102" t="str">
        <f t="shared" si="18"/>
        <v>6-12</v>
      </c>
      <c r="BQ17" s="161"/>
      <c r="BR17" s="165"/>
      <c r="BS17" s="149" t="str">
        <f t="shared" si="19"/>
        <v>60-120 ثانية</v>
      </c>
      <c r="BT17" s="107"/>
      <c r="BU17" s="82"/>
      <c r="BV17" s="80" t="str">
        <f t="shared" si="20"/>
        <v>Dumbbell seated lateral raises</v>
      </c>
      <c r="BW17" s="97">
        <v>3</v>
      </c>
      <c r="BX17" s="102" t="str">
        <f t="shared" si="21"/>
        <v>6-12</v>
      </c>
      <c r="BY17" s="161"/>
      <c r="BZ17" s="165"/>
      <c r="CA17" s="149" t="str">
        <f t="shared" si="22"/>
        <v>60-120 ثانية</v>
      </c>
      <c r="CB17" s="107"/>
      <c r="CC17" s="82"/>
      <c r="CD17" s="80" t="str">
        <f t="shared" si="23"/>
        <v>Dumbbell seated lateral raises</v>
      </c>
      <c r="CE17" s="97">
        <v>3</v>
      </c>
      <c r="CF17" s="102" t="str">
        <f t="shared" si="24"/>
        <v>6-12</v>
      </c>
      <c r="CG17" s="161"/>
      <c r="CH17" s="165"/>
      <c r="CI17" s="149" t="str">
        <f t="shared" si="25"/>
        <v>60-120 ثانية</v>
      </c>
      <c r="CJ17" s="107"/>
      <c r="CK17" s="82"/>
      <c r="CL17" s="80" t="str">
        <f t="shared" si="26"/>
        <v>Dumbbell seated lateral raises</v>
      </c>
      <c r="CM17" s="97">
        <v>3</v>
      </c>
      <c r="CN17" s="102" t="str">
        <f t="shared" si="27"/>
        <v>6-12</v>
      </c>
      <c r="CO17" s="161"/>
      <c r="CP17" s="165"/>
      <c r="CQ17" s="149" t="str">
        <f t="shared" si="28"/>
        <v>60-120 ثانية</v>
      </c>
      <c r="CR17" s="107"/>
      <c r="CS17" s="137"/>
      <c r="CT17" s="80" t="str">
        <f t="shared" si="5"/>
        <v>Dumbbell seated lateral raises</v>
      </c>
      <c r="CU17" s="166">
        <v>2</v>
      </c>
      <c r="CV17" s="167"/>
      <c r="CW17" s="168"/>
      <c r="CX17" s="250"/>
      <c r="CY17" s="138"/>
    </row>
    <row r="18" spans="1:103" ht="26.25" customHeight="1">
      <c r="A18" s="122">
        <v>5</v>
      </c>
      <c r="B18" s="188"/>
      <c r="C18" s="188"/>
      <c r="D18" s="122">
        <v>5</v>
      </c>
      <c r="E18" s="126" t="s">
        <v>12</v>
      </c>
      <c r="F18" s="123" t="str">
        <f>INDEX(Table_Name[Name list],MATCH(E18,Table_Name[category],0))</f>
        <v>ترايسيبس[التمرين]</v>
      </c>
      <c r="G18" s="124" t="s">
        <v>318</v>
      </c>
      <c r="H18" s="95" t="str">
        <f>INDEX(Links[الرابط],MATCH(G18,Links[التمرين],0))</f>
        <v>https://www.youtube.com/watch?v=OChuGyCSC7U&amp;list=PLyqKj7LwU2RtMd8vP3NEoig1RPJQK78Ea&amp;index=12</v>
      </c>
      <c r="I18" s="125" t="str">
        <f t="shared" si="6"/>
        <v>Watch</v>
      </c>
      <c r="K18" s="80" t="str">
        <f t="shared" si="0"/>
        <v>Machine triceps pushdown</v>
      </c>
      <c r="L18" s="97">
        <v>3</v>
      </c>
      <c r="M18" s="103" t="s">
        <v>812</v>
      </c>
      <c r="N18" s="101"/>
      <c r="O18" s="106"/>
      <c r="P18" s="109" t="s">
        <v>771</v>
      </c>
      <c r="Q18" s="94"/>
      <c r="R18" s="80" t="str">
        <f t="shared" si="1"/>
        <v>Machine triceps pushdown</v>
      </c>
      <c r="S18" s="97">
        <v>3</v>
      </c>
      <c r="T18" s="102" t="str">
        <f t="shared" si="7"/>
        <v>6-12</v>
      </c>
      <c r="U18" s="101"/>
      <c r="V18" s="106"/>
      <c r="W18" s="109" t="str">
        <f t="shared" si="62"/>
        <v>60-120 ثانية</v>
      </c>
      <c r="X18" s="107"/>
      <c r="Z18" s="80" t="str">
        <f t="shared" si="2"/>
        <v>Machine triceps pushdown</v>
      </c>
      <c r="AA18" s="97">
        <v>4</v>
      </c>
      <c r="AB18" s="102" t="str">
        <f t="shared" si="8"/>
        <v>6-12</v>
      </c>
      <c r="AC18" s="101"/>
      <c r="AD18" s="106"/>
      <c r="AE18" s="109" t="str">
        <f t="shared" si="63"/>
        <v>60-120 ثانية</v>
      </c>
      <c r="AF18" s="107"/>
      <c r="AH18" s="80" t="str">
        <f t="shared" si="3"/>
        <v>Machine triceps pushdown</v>
      </c>
      <c r="AI18" s="97">
        <v>4</v>
      </c>
      <c r="AJ18" s="102" t="str">
        <f t="shared" si="9"/>
        <v>6-12</v>
      </c>
      <c r="AK18" s="101"/>
      <c r="AL18" s="106"/>
      <c r="AM18" s="109" t="str">
        <f t="shared" si="64"/>
        <v>60-120 ثانية</v>
      </c>
      <c r="AN18" s="107"/>
      <c r="AP18" s="80" t="str">
        <f t="shared" si="4"/>
        <v>Machine triceps pushdown</v>
      </c>
      <c r="AQ18" s="97">
        <v>4</v>
      </c>
      <c r="AR18" s="102" t="str">
        <f t="shared" si="10"/>
        <v>6-12</v>
      </c>
      <c r="AS18" s="101"/>
      <c r="AT18" s="106"/>
      <c r="AU18" s="109" t="str">
        <f t="shared" si="65"/>
        <v>60-120 ثانية</v>
      </c>
      <c r="AV18" s="107"/>
      <c r="AX18" s="80" t="str">
        <f t="shared" si="11"/>
        <v>Machine triceps pushdown</v>
      </c>
      <c r="AY18" s="97">
        <v>4</v>
      </c>
      <c r="AZ18" s="102" t="str">
        <f t="shared" si="12"/>
        <v>6-12</v>
      </c>
      <c r="BA18" s="101"/>
      <c r="BB18" s="106"/>
      <c r="BC18" s="149" t="str">
        <f t="shared" si="13"/>
        <v>60-120 ثانية</v>
      </c>
      <c r="BD18" s="107"/>
      <c r="BE18" s="138"/>
      <c r="BF18" s="80" t="str">
        <f t="shared" si="14"/>
        <v>Machine triceps pushdown</v>
      </c>
      <c r="BG18" s="97">
        <v>4</v>
      </c>
      <c r="BH18" s="102" t="str">
        <f t="shared" si="15"/>
        <v>6-12</v>
      </c>
      <c r="BI18" s="161"/>
      <c r="BJ18" s="165"/>
      <c r="BK18" s="149" t="str">
        <f t="shared" si="16"/>
        <v>60-120 ثانية</v>
      </c>
      <c r="BL18" s="107"/>
      <c r="BM18" s="82"/>
      <c r="BN18" s="80" t="str">
        <f t="shared" si="17"/>
        <v>Machine triceps pushdown</v>
      </c>
      <c r="BO18" s="97">
        <v>4</v>
      </c>
      <c r="BP18" s="102" t="str">
        <f t="shared" si="18"/>
        <v>6-12</v>
      </c>
      <c r="BQ18" s="161"/>
      <c r="BR18" s="165"/>
      <c r="BS18" s="149" t="str">
        <f t="shared" si="19"/>
        <v>60-120 ثانية</v>
      </c>
      <c r="BT18" s="107"/>
      <c r="BU18" s="82"/>
      <c r="BV18" s="80" t="str">
        <f t="shared" si="20"/>
        <v>Machine triceps pushdown</v>
      </c>
      <c r="BW18" s="97">
        <v>4</v>
      </c>
      <c r="BX18" s="102" t="str">
        <f t="shared" si="21"/>
        <v>6-12</v>
      </c>
      <c r="BY18" s="161"/>
      <c r="BZ18" s="165"/>
      <c r="CA18" s="149" t="str">
        <f t="shared" si="22"/>
        <v>60-120 ثانية</v>
      </c>
      <c r="CB18" s="107"/>
      <c r="CC18" s="82"/>
      <c r="CD18" s="80" t="str">
        <f t="shared" si="23"/>
        <v>Machine triceps pushdown</v>
      </c>
      <c r="CE18" s="97">
        <v>4</v>
      </c>
      <c r="CF18" s="102" t="str">
        <f t="shared" si="24"/>
        <v>6-12</v>
      </c>
      <c r="CG18" s="161"/>
      <c r="CH18" s="165"/>
      <c r="CI18" s="149" t="str">
        <f t="shared" si="25"/>
        <v>60-120 ثانية</v>
      </c>
      <c r="CJ18" s="107"/>
      <c r="CK18" s="82"/>
      <c r="CL18" s="80" t="str">
        <f t="shared" si="26"/>
        <v>Machine triceps pushdown</v>
      </c>
      <c r="CM18" s="97">
        <v>4</v>
      </c>
      <c r="CN18" s="102" t="str">
        <f t="shared" si="27"/>
        <v>6-12</v>
      </c>
      <c r="CO18" s="161"/>
      <c r="CP18" s="165"/>
      <c r="CQ18" s="149" t="str">
        <f t="shared" si="28"/>
        <v>60-120 ثانية</v>
      </c>
      <c r="CR18" s="107"/>
      <c r="CS18" s="137"/>
      <c r="CT18" s="80" t="str">
        <f t="shared" si="5"/>
        <v>Machine triceps pushdown</v>
      </c>
      <c r="CU18" s="166">
        <v>2</v>
      </c>
      <c r="CV18" s="167"/>
      <c r="CW18" s="168"/>
      <c r="CX18" s="250"/>
      <c r="CY18" s="138"/>
    </row>
    <row r="19" spans="1:103" ht="26.25" customHeight="1">
      <c r="A19" s="122">
        <v>6</v>
      </c>
      <c r="B19" s="188"/>
      <c r="C19" s="188"/>
      <c r="D19" s="122">
        <v>6</v>
      </c>
      <c r="E19" s="126" t="s">
        <v>12</v>
      </c>
      <c r="F19" s="123" t="str">
        <f>INDEX(Table_Name[Name list],MATCH(E19,Table_Name[category],0))</f>
        <v>ترايسيبس[التمرين]</v>
      </c>
      <c r="G19" s="124" t="s">
        <v>48</v>
      </c>
      <c r="H19" s="95" t="str">
        <f>INDEX(Links[الرابط],MATCH(G19,Links[التمرين],0))</f>
        <v>https://www.youtube.com/watch?v=-xa-6cQaZKY&amp;list=PLyqKj7LwU2RtMd8vP3NEoig1RPJQK78Ea&amp;index=14</v>
      </c>
      <c r="I19" s="125" t="str">
        <f t="shared" si="6"/>
        <v>Watch</v>
      </c>
      <c r="K19" s="80" t="str">
        <f t="shared" si="0"/>
        <v>Cable rope pushdown</v>
      </c>
      <c r="L19" s="97">
        <v>3</v>
      </c>
      <c r="M19" s="103" t="s">
        <v>812</v>
      </c>
      <c r="N19" s="99"/>
      <c r="O19" s="78"/>
      <c r="P19" s="109" t="s">
        <v>771</v>
      </c>
      <c r="Q19" s="94"/>
      <c r="R19" s="80" t="str">
        <f t="shared" si="1"/>
        <v>Cable rope pushdown</v>
      </c>
      <c r="S19" s="97">
        <v>3</v>
      </c>
      <c r="T19" s="102" t="str">
        <f t="shared" si="7"/>
        <v>6-12</v>
      </c>
      <c r="U19" s="99"/>
      <c r="V19" s="78"/>
      <c r="W19" s="109" t="str">
        <f t="shared" si="62"/>
        <v>60-120 ثانية</v>
      </c>
      <c r="X19" s="107"/>
      <c r="Z19" s="80" t="str">
        <f t="shared" si="2"/>
        <v>Cable rope pushdown</v>
      </c>
      <c r="AA19" s="97">
        <v>3</v>
      </c>
      <c r="AB19" s="102" t="str">
        <f t="shared" si="8"/>
        <v>6-12</v>
      </c>
      <c r="AC19" s="99"/>
      <c r="AD19" s="78"/>
      <c r="AE19" s="109" t="str">
        <f t="shared" si="63"/>
        <v>60-120 ثانية</v>
      </c>
      <c r="AF19" s="107"/>
      <c r="AH19" s="80" t="str">
        <f t="shared" si="3"/>
        <v>Cable rope pushdown</v>
      </c>
      <c r="AI19" s="97">
        <v>3</v>
      </c>
      <c r="AJ19" s="102" t="str">
        <f t="shared" si="9"/>
        <v>6-12</v>
      </c>
      <c r="AK19" s="99"/>
      <c r="AL19" s="78"/>
      <c r="AM19" s="109" t="str">
        <f t="shared" si="64"/>
        <v>60-120 ثانية</v>
      </c>
      <c r="AN19" s="107"/>
      <c r="AP19" s="80" t="str">
        <f t="shared" si="4"/>
        <v>Cable rope pushdown</v>
      </c>
      <c r="AQ19" s="97">
        <v>3</v>
      </c>
      <c r="AR19" s="102" t="str">
        <f t="shared" si="10"/>
        <v>6-12</v>
      </c>
      <c r="AS19" s="99"/>
      <c r="AT19" s="78"/>
      <c r="AU19" s="109" t="str">
        <f t="shared" si="65"/>
        <v>60-120 ثانية</v>
      </c>
      <c r="AV19" s="107"/>
      <c r="AX19" s="80" t="str">
        <f t="shared" si="11"/>
        <v>Cable rope pushdown</v>
      </c>
      <c r="AY19" s="97">
        <v>3</v>
      </c>
      <c r="AZ19" s="102" t="str">
        <f t="shared" si="12"/>
        <v>6-12</v>
      </c>
      <c r="BA19" s="99"/>
      <c r="BB19" s="78"/>
      <c r="BC19" s="149" t="str">
        <f t="shared" si="13"/>
        <v>60-120 ثانية</v>
      </c>
      <c r="BD19" s="107"/>
      <c r="BE19" s="138"/>
      <c r="BF19" s="80" t="str">
        <f t="shared" si="14"/>
        <v>Cable rope pushdown</v>
      </c>
      <c r="BG19" s="97">
        <v>3</v>
      </c>
      <c r="BH19" s="102" t="str">
        <f t="shared" si="15"/>
        <v>6-12</v>
      </c>
      <c r="BI19" s="163"/>
      <c r="BJ19" s="168"/>
      <c r="BK19" s="149" t="str">
        <f t="shared" si="16"/>
        <v>60-120 ثانية</v>
      </c>
      <c r="BL19" s="107"/>
      <c r="BM19" s="82"/>
      <c r="BN19" s="80" t="str">
        <f t="shared" si="17"/>
        <v>Cable rope pushdown</v>
      </c>
      <c r="BO19" s="97">
        <v>3</v>
      </c>
      <c r="BP19" s="102" t="str">
        <f t="shared" si="18"/>
        <v>6-12</v>
      </c>
      <c r="BQ19" s="163"/>
      <c r="BR19" s="168"/>
      <c r="BS19" s="149" t="str">
        <f t="shared" si="19"/>
        <v>60-120 ثانية</v>
      </c>
      <c r="BT19" s="107"/>
      <c r="BU19" s="82"/>
      <c r="BV19" s="80" t="str">
        <f t="shared" si="20"/>
        <v>Cable rope pushdown</v>
      </c>
      <c r="BW19" s="97">
        <v>3</v>
      </c>
      <c r="BX19" s="102" t="str">
        <f t="shared" si="21"/>
        <v>6-12</v>
      </c>
      <c r="BY19" s="163"/>
      <c r="BZ19" s="168"/>
      <c r="CA19" s="149" t="str">
        <f t="shared" si="22"/>
        <v>60-120 ثانية</v>
      </c>
      <c r="CB19" s="107"/>
      <c r="CC19" s="82"/>
      <c r="CD19" s="80" t="str">
        <f t="shared" si="23"/>
        <v>Cable rope pushdown</v>
      </c>
      <c r="CE19" s="97">
        <v>3</v>
      </c>
      <c r="CF19" s="102" t="str">
        <f t="shared" si="24"/>
        <v>6-12</v>
      </c>
      <c r="CG19" s="163"/>
      <c r="CH19" s="168"/>
      <c r="CI19" s="149" t="str">
        <f>P19</f>
        <v>60-120 ثانية</v>
      </c>
      <c r="CJ19" s="107"/>
      <c r="CK19" s="82"/>
      <c r="CL19" s="80" t="str">
        <f t="shared" si="26"/>
        <v>Cable rope pushdown</v>
      </c>
      <c r="CM19" s="97">
        <v>3</v>
      </c>
      <c r="CN19" s="102" t="str">
        <f t="shared" si="27"/>
        <v>6-12</v>
      </c>
      <c r="CO19" s="163"/>
      <c r="CP19" s="168"/>
      <c r="CQ19" s="149" t="str">
        <f t="shared" si="28"/>
        <v>60-120 ثانية</v>
      </c>
      <c r="CR19" s="107"/>
      <c r="CS19" s="137"/>
      <c r="CT19" s="80" t="str">
        <f t="shared" si="5"/>
        <v>Cable rope pushdown</v>
      </c>
      <c r="CU19" s="166">
        <v>2</v>
      </c>
      <c r="CV19" s="167"/>
      <c r="CW19" s="168"/>
      <c r="CX19" s="251"/>
      <c r="CY19" s="138"/>
    </row>
    <row r="20" spans="1:103" ht="18" customHeight="1" thickBot="1">
      <c r="D20" s="117"/>
      <c r="E20" s="117"/>
      <c r="F20" s="117"/>
      <c r="G20" s="117"/>
      <c r="H20" s="112"/>
      <c r="I20" s="85"/>
      <c r="O20" s="85"/>
      <c r="P20" s="87"/>
      <c r="Q20" s="86"/>
      <c r="V20" s="85"/>
      <c r="W20" s="87"/>
      <c r="AD20" s="85"/>
      <c r="AE20" s="87"/>
      <c r="AL20" s="85"/>
      <c r="AM20" s="87"/>
      <c r="AT20" s="85"/>
      <c r="AU20" s="87"/>
      <c r="BB20" s="85"/>
      <c r="BC20" s="87"/>
      <c r="BF20" s="82"/>
      <c r="BH20" s="82"/>
      <c r="BI20" s="82"/>
      <c r="BJ20" s="85"/>
      <c r="BK20" s="87"/>
      <c r="BL20" s="82"/>
      <c r="BM20" s="82"/>
      <c r="BN20" s="82"/>
      <c r="BP20" s="82"/>
      <c r="BQ20" s="82"/>
      <c r="BR20" s="85"/>
      <c r="BS20" s="87"/>
      <c r="BT20" s="82"/>
      <c r="BU20" s="82"/>
      <c r="BV20" s="82"/>
      <c r="BX20" s="82"/>
      <c r="BY20" s="82"/>
      <c r="BZ20" s="85"/>
      <c r="CA20" s="87"/>
      <c r="CB20" s="82"/>
      <c r="CC20" s="82"/>
      <c r="CD20" s="82"/>
      <c r="CF20" s="82"/>
      <c r="CG20" s="82"/>
      <c r="CH20" s="85"/>
      <c r="CI20" s="87"/>
      <c r="CJ20" s="82"/>
      <c r="CK20" s="82"/>
      <c r="CL20" s="82"/>
      <c r="CN20" s="82"/>
      <c r="CO20" s="82"/>
      <c r="CP20" s="85"/>
      <c r="CQ20" s="87"/>
      <c r="CR20" s="82"/>
    </row>
    <row r="21" spans="1:103" s="144" customFormat="1" ht="24.95" customHeight="1">
      <c r="B21" s="219" t="s">
        <v>758</v>
      </c>
      <c r="C21" s="220"/>
      <c r="D21" s="277" t="s">
        <v>768</v>
      </c>
      <c r="E21" s="278"/>
      <c r="F21" s="278"/>
      <c r="G21" s="278"/>
      <c r="H21" s="278"/>
      <c r="I21" s="279"/>
      <c r="K21" s="230" t="s">
        <v>759</v>
      </c>
      <c r="L21" s="230"/>
      <c r="M21" s="230"/>
      <c r="N21" s="230"/>
      <c r="O21" s="230"/>
      <c r="P21" s="230"/>
      <c r="Q21" s="88"/>
      <c r="R21" s="237" t="s">
        <v>6</v>
      </c>
      <c r="S21" s="237"/>
      <c r="T21" s="237"/>
      <c r="U21" s="237"/>
      <c r="V21" s="237"/>
      <c r="W21" s="237"/>
      <c r="X21" s="237"/>
      <c r="Z21" s="265" t="s">
        <v>8</v>
      </c>
      <c r="AA21" s="265"/>
      <c r="AB21" s="265"/>
      <c r="AC21" s="265"/>
      <c r="AD21" s="265"/>
      <c r="AE21" s="265"/>
      <c r="AF21" s="265"/>
      <c r="AH21" s="264" t="s">
        <v>7</v>
      </c>
      <c r="AI21" s="264"/>
      <c r="AJ21" s="264"/>
      <c r="AK21" s="264"/>
      <c r="AL21" s="264"/>
      <c r="AM21" s="264"/>
      <c r="AN21" s="264"/>
      <c r="AP21" s="230" t="s">
        <v>33</v>
      </c>
      <c r="AQ21" s="230"/>
      <c r="AR21" s="230"/>
      <c r="AS21" s="230"/>
      <c r="AT21" s="230"/>
      <c r="AU21" s="230"/>
      <c r="AV21" s="230"/>
      <c r="AX21" s="253" t="s">
        <v>442</v>
      </c>
      <c r="AY21" s="253"/>
      <c r="AZ21" s="253"/>
      <c r="BA21" s="253"/>
      <c r="BB21" s="253"/>
      <c r="BC21" s="253"/>
      <c r="BD21" s="253"/>
      <c r="BE21" s="150"/>
      <c r="BF21" s="237" t="s">
        <v>789</v>
      </c>
      <c r="BG21" s="237"/>
      <c r="BH21" s="237"/>
      <c r="BI21" s="237"/>
      <c r="BJ21" s="237"/>
      <c r="BK21" s="237"/>
      <c r="BL21" s="237"/>
      <c r="BN21" s="265" t="s">
        <v>790</v>
      </c>
      <c r="BO21" s="265"/>
      <c r="BP21" s="265"/>
      <c r="BQ21" s="265"/>
      <c r="BR21" s="265"/>
      <c r="BS21" s="265"/>
      <c r="BT21" s="265"/>
      <c r="BV21" s="264" t="s">
        <v>791</v>
      </c>
      <c r="BW21" s="264"/>
      <c r="BX21" s="264"/>
      <c r="BY21" s="264"/>
      <c r="BZ21" s="264"/>
      <c r="CA21" s="264"/>
      <c r="CB21" s="264"/>
      <c r="CD21" s="230" t="s">
        <v>792</v>
      </c>
      <c r="CE21" s="230"/>
      <c r="CF21" s="230"/>
      <c r="CG21" s="230"/>
      <c r="CH21" s="230"/>
      <c r="CI21" s="230"/>
      <c r="CJ21" s="230"/>
      <c r="CL21" s="253" t="s">
        <v>793</v>
      </c>
      <c r="CM21" s="253"/>
      <c r="CN21" s="253"/>
      <c r="CO21" s="253"/>
      <c r="CP21" s="253"/>
      <c r="CQ21" s="253"/>
      <c r="CR21" s="253"/>
      <c r="CS21" s="159"/>
      <c r="CT21" s="252" t="s">
        <v>29</v>
      </c>
      <c r="CU21" s="252"/>
      <c r="CV21" s="252"/>
      <c r="CW21" s="252"/>
      <c r="CX21" s="252"/>
    </row>
    <row r="22" spans="1:103" ht="22.5" customHeight="1" thickBot="1">
      <c r="A22" s="127" t="s">
        <v>9</v>
      </c>
      <c r="B22" s="221"/>
      <c r="C22" s="222"/>
      <c r="D22" s="127" t="s">
        <v>9</v>
      </c>
      <c r="E22" s="128" t="s">
        <v>3</v>
      </c>
      <c r="F22" s="128" t="s">
        <v>0</v>
      </c>
      <c r="G22" s="128" t="s">
        <v>21</v>
      </c>
      <c r="H22" s="128"/>
      <c r="I22" s="129" t="s">
        <v>14</v>
      </c>
      <c r="K22" s="79" t="s">
        <v>766</v>
      </c>
      <c r="L22" s="89" t="s">
        <v>4</v>
      </c>
      <c r="M22" s="120" t="s">
        <v>770</v>
      </c>
      <c r="N22" s="90" t="s">
        <v>5</v>
      </c>
      <c r="O22" s="91" t="s">
        <v>28</v>
      </c>
      <c r="P22" s="108" t="s">
        <v>32</v>
      </c>
      <c r="Q22" s="98"/>
      <c r="R22" s="79" t="s">
        <v>766</v>
      </c>
      <c r="S22" s="89" t="s">
        <v>4</v>
      </c>
      <c r="T22" s="120" t="s">
        <v>770</v>
      </c>
      <c r="U22" s="90" t="s">
        <v>5</v>
      </c>
      <c r="V22" s="91" t="s">
        <v>28</v>
      </c>
      <c r="W22" s="108" t="s">
        <v>32</v>
      </c>
      <c r="X22" s="121" t="s">
        <v>761</v>
      </c>
      <c r="Z22" s="79" t="s">
        <v>766</v>
      </c>
      <c r="AA22" s="89" t="s">
        <v>4</v>
      </c>
      <c r="AB22" s="120" t="s">
        <v>770</v>
      </c>
      <c r="AC22" s="90" t="s">
        <v>5</v>
      </c>
      <c r="AD22" s="91" t="s">
        <v>28</v>
      </c>
      <c r="AE22" s="108" t="s">
        <v>32</v>
      </c>
      <c r="AF22" s="121" t="s">
        <v>761</v>
      </c>
      <c r="AH22" s="79" t="s">
        <v>766</v>
      </c>
      <c r="AI22" s="89" t="s">
        <v>4</v>
      </c>
      <c r="AJ22" s="120" t="s">
        <v>770</v>
      </c>
      <c r="AK22" s="90" t="s">
        <v>5</v>
      </c>
      <c r="AL22" s="91" t="s">
        <v>28</v>
      </c>
      <c r="AM22" s="108" t="s">
        <v>32</v>
      </c>
      <c r="AN22" s="121" t="s">
        <v>761</v>
      </c>
      <c r="AP22" s="79" t="s">
        <v>766</v>
      </c>
      <c r="AQ22" s="89" t="s">
        <v>4</v>
      </c>
      <c r="AR22" s="120" t="s">
        <v>770</v>
      </c>
      <c r="AS22" s="90" t="s">
        <v>5</v>
      </c>
      <c r="AT22" s="91" t="s">
        <v>28</v>
      </c>
      <c r="AU22" s="108" t="s">
        <v>32</v>
      </c>
      <c r="AV22" s="121" t="s">
        <v>761</v>
      </c>
      <c r="AX22" s="79" t="s">
        <v>766</v>
      </c>
      <c r="AY22" s="89" t="s">
        <v>4</v>
      </c>
      <c r="AZ22" s="120" t="s">
        <v>770</v>
      </c>
      <c r="BA22" s="90" t="s">
        <v>5</v>
      </c>
      <c r="BB22" s="91" t="s">
        <v>28</v>
      </c>
      <c r="BC22" s="108" t="s">
        <v>32</v>
      </c>
      <c r="BD22" s="121" t="s">
        <v>761</v>
      </c>
      <c r="BE22" s="151"/>
      <c r="BF22" s="79" t="s">
        <v>766</v>
      </c>
      <c r="BG22" s="89" t="s">
        <v>4</v>
      </c>
      <c r="BH22" s="120" t="s">
        <v>770</v>
      </c>
      <c r="BI22" s="90" t="s">
        <v>5</v>
      </c>
      <c r="BJ22" s="91" t="s">
        <v>28</v>
      </c>
      <c r="BK22" s="108" t="s">
        <v>32</v>
      </c>
      <c r="BL22" s="121" t="s">
        <v>761</v>
      </c>
      <c r="BM22" s="82"/>
      <c r="BN22" s="79" t="s">
        <v>766</v>
      </c>
      <c r="BO22" s="89" t="s">
        <v>4</v>
      </c>
      <c r="BP22" s="120" t="s">
        <v>770</v>
      </c>
      <c r="BQ22" s="90" t="s">
        <v>5</v>
      </c>
      <c r="BR22" s="91" t="s">
        <v>28</v>
      </c>
      <c r="BS22" s="108" t="s">
        <v>32</v>
      </c>
      <c r="BT22" s="121" t="s">
        <v>761</v>
      </c>
      <c r="BU22" s="82"/>
      <c r="BV22" s="79" t="s">
        <v>766</v>
      </c>
      <c r="BW22" s="89" t="s">
        <v>4</v>
      </c>
      <c r="BX22" s="120" t="s">
        <v>770</v>
      </c>
      <c r="BY22" s="90" t="s">
        <v>5</v>
      </c>
      <c r="BZ22" s="91" t="s">
        <v>28</v>
      </c>
      <c r="CA22" s="108" t="s">
        <v>32</v>
      </c>
      <c r="CB22" s="121" t="s">
        <v>761</v>
      </c>
      <c r="CC22" s="82"/>
      <c r="CD22" s="79" t="s">
        <v>766</v>
      </c>
      <c r="CE22" s="89" t="s">
        <v>4</v>
      </c>
      <c r="CF22" s="120" t="s">
        <v>770</v>
      </c>
      <c r="CG22" s="90" t="s">
        <v>5</v>
      </c>
      <c r="CH22" s="91" t="s">
        <v>28</v>
      </c>
      <c r="CI22" s="108" t="s">
        <v>32</v>
      </c>
      <c r="CJ22" s="121" t="s">
        <v>761</v>
      </c>
      <c r="CK22" s="82"/>
      <c r="CL22" s="79" t="s">
        <v>766</v>
      </c>
      <c r="CM22" s="89" t="s">
        <v>4</v>
      </c>
      <c r="CN22" s="120" t="s">
        <v>770</v>
      </c>
      <c r="CO22" s="90" t="s">
        <v>5</v>
      </c>
      <c r="CP22" s="91" t="s">
        <v>28</v>
      </c>
      <c r="CQ22" s="108" t="s">
        <v>32</v>
      </c>
      <c r="CR22" s="121" t="s">
        <v>761</v>
      </c>
      <c r="CS22" s="160"/>
      <c r="CT22" s="79" t="s">
        <v>766</v>
      </c>
      <c r="CU22" s="89" t="s">
        <v>4</v>
      </c>
      <c r="CV22" s="90" t="s">
        <v>794</v>
      </c>
      <c r="CW22" s="90" t="s">
        <v>795</v>
      </c>
      <c r="CX22" s="120" t="s">
        <v>32</v>
      </c>
    </row>
    <row r="23" spans="1:103" ht="26.25" customHeight="1">
      <c r="A23" s="83">
        <v>1</v>
      </c>
      <c r="B23" s="244"/>
      <c r="C23" s="245"/>
      <c r="D23" s="83">
        <v>1</v>
      </c>
      <c r="E23" s="83" t="s">
        <v>382</v>
      </c>
      <c r="F23" s="123" t="str">
        <f>INDEX(Table_Name[Name list],MATCH(E23,Table_Name[category],0))</f>
        <v>سحب_رأسي_ظهر[التمرين]</v>
      </c>
      <c r="G23" s="124" t="s">
        <v>245</v>
      </c>
      <c r="H23" s="95" t="str">
        <f>INDEX(Links[الرابط],MATCH(G23,Links[التمرين],0))</f>
        <v>https://www.youtube.com/watch?v=EUIri47Epcg&amp;list=PLyqKj7LwU2RsCtKw3UlE85HYgPM3-xoO1&amp;index=16</v>
      </c>
      <c r="I23" s="125" t="str">
        <f>HYPERLINK(H23,"Watch")</f>
        <v>Watch</v>
      </c>
      <c r="K23" s="80" t="str">
        <f t="shared" ref="K23:K28" si="66">G23</f>
        <v>Normal grip pulldowns</v>
      </c>
      <c r="L23" s="83">
        <v>3</v>
      </c>
      <c r="M23" s="103" t="s">
        <v>812</v>
      </c>
      <c r="N23" s="73"/>
      <c r="O23" s="76"/>
      <c r="P23" s="109" t="s">
        <v>771</v>
      </c>
      <c r="Q23" s="94"/>
      <c r="R23" s="80" t="str">
        <f t="shared" ref="R23:R28" si="67">G23</f>
        <v>Normal grip pulldowns</v>
      </c>
      <c r="S23" s="83">
        <v>4</v>
      </c>
      <c r="T23" s="102" t="str">
        <f>M23</f>
        <v>6-12</v>
      </c>
      <c r="U23" s="73"/>
      <c r="V23" s="76"/>
      <c r="W23" s="109" t="str">
        <f>P23</f>
        <v>60-120 ثانية</v>
      </c>
      <c r="X23" s="107"/>
      <c r="Z23" s="80" t="str">
        <f t="shared" ref="Z23:Z28" si="68">G23</f>
        <v>Normal grip pulldowns</v>
      </c>
      <c r="AA23" s="83">
        <v>4</v>
      </c>
      <c r="AB23" s="102" t="str">
        <f>M23</f>
        <v>6-12</v>
      </c>
      <c r="AC23" s="73"/>
      <c r="AD23" s="76"/>
      <c r="AE23" s="109" t="str">
        <f>P23</f>
        <v>60-120 ثانية</v>
      </c>
      <c r="AF23" s="107"/>
      <c r="AH23" s="80" t="str">
        <f t="shared" ref="AH23:AH28" si="69">G23</f>
        <v>Normal grip pulldowns</v>
      </c>
      <c r="AI23" s="83">
        <v>4</v>
      </c>
      <c r="AJ23" s="102" t="str">
        <f>M23</f>
        <v>6-12</v>
      </c>
      <c r="AK23" s="73"/>
      <c r="AL23" s="76"/>
      <c r="AM23" s="109" t="str">
        <f>P23</f>
        <v>60-120 ثانية</v>
      </c>
      <c r="AN23" s="107"/>
      <c r="AP23" s="80" t="str">
        <f t="shared" ref="AP23:AP28" si="70">G23</f>
        <v>Normal grip pulldowns</v>
      </c>
      <c r="AQ23" s="83">
        <v>4</v>
      </c>
      <c r="AR23" s="102" t="str">
        <f>M23</f>
        <v>6-12</v>
      </c>
      <c r="AS23" s="73"/>
      <c r="AT23" s="76"/>
      <c r="AU23" s="109" t="str">
        <f>P23</f>
        <v>60-120 ثانية</v>
      </c>
      <c r="AV23" s="107"/>
      <c r="AX23" s="80" t="str">
        <f>G23</f>
        <v>Normal grip pulldowns</v>
      </c>
      <c r="AY23" s="83">
        <v>4</v>
      </c>
      <c r="AZ23" s="102" t="str">
        <f>M23</f>
        <v>6-12</v>
      </c>
      <c r="BA23" s="73"/>
      <c r="BB23" s="76"/>
      <c r="BC23" s="149" t="str">
        <f>P23</f>
        <v>60-120 ثانية</v>
      </c>
      <c r="BD23" s="107"/>
      <c r="BE23" s="138"/>
      <c r="BF23" s="80" t="str">
        <f>G23</f>
        <v>Normal grip pulldowns</v>
      </c>
      <c r="BG23" s="83">
        <v>4</v>
      </c>
      <c r="BH23" s="102" t="str">
        <f>M23</f>
        <v>6-12</v>
      </c>
      <c r="BI23" s="169"/>
      <c r="BJ23" s="164"/>
      <c r="BK23" s="149" t="str">
        <f>P23</f>
        <v>60-120 ثانية</v>
      </c>
      <c r="BL23" s="107"/>
      <c r="BM23" s="82"/>
      <c r="BN23" s="80" t="str">
        <f>G23</f>
        <v>Normal grip pulldowns</v>
      </c>
      <c r="BO23" s="83">
        <v>4</v>
      </c>
      <c r="BP23" s="102" t="str">
        <f>M23</f>
        <v>6-12</v>
      </c>
      <c r="BQ23" s="169"/>
      <c r="BR23" s="164"/>
      <c r="BS23" s="149" t="str">
        <f>P23</f>
        <v>60-120 ثانية</v>
      </c>
      <c r="BT23" s="107"/>
      <c r="BU23" s="82"/>
      <c r="BV23" s="80" t="str">
        <f>G23</f>
        <v>Normal grip pulldowns</v>
      </c>
      <c r="BW23" s="83">
        <v>4</v>
      </c>
      <c r="BX23" s="102" t="str">
        <f>M23</f>
        <v>6-12</v>
      </c>
      <c r="BY23" s="169"/>
      <c r="BZ23" s="164"/>
      <c r="CA23" s="149" t="str">
        <f>P23</f>
        <v>60-120 ثانية</v>
      </c>
      <c r="CB23" s="107"/>
      <c r="CC23" s="82"/>
      <c r="CD23" s="80" t="str">
        <f>G23</f>
        <v>Normal grip pulldowns</v>
      </c>
      <c r="CE23" s="83">
        <v>4</v>
      </c>
      <c r="CF23" s="102" t="str">
        <f>M23</f>
        <v>6-12</v>
      </c>
      <c r="CG23" s="169"/>
      <c r="CH23" s="164"/>
      <c r="CI23" s="149" t="str">
        <f>P23</f>
        <v>60-120 ثانية</v>
      </c>
      <c r="CJ23" s="107"/>
      <c r="CK23" s="82"/>
      <c r="CL23" s="80" t="str">
        <f>G23</f>
        <v>Normal grip pulldowns</v>
      </c>
      <c r="CM23" s="83">
        <v>4</v>
      </c>
      <c r="CN23" s="102" t="str">
        <f>M23</f>
        <v>6-12</v>
      </c>
      <c r="CO23" s="169"/>
      <c r="CP23" s="164"/>
      <c r="CQ23" s="149" t="str">
        <f>P23</f>
        <v>60-120 ثانية</v>
      </c>
      <c r="CR23" s="107"/>
      <c r="CS23" s="137"/>
      <c r="CT23" s="80" t="str">
        <f t="shared" ref="CT23:CT28" si="71">G23</f>
        <v>Normal grip pulldowns</v>
      </c>
      <c r="CU23" s="95">
        <v>2</v>
      </c>
      <c r="CV23" s="163"/>
      <c r="CW23" s="164"/>
      <c r="CX23" s="254" t="s">
        <v>34</v>
      </c>
      <c r="CY23" s="138"/>
    </row>
    <row r="24" spans="1:103" ht="26.25" customHeight="1">
      <c r="A24" s="83">
        <v>2</v>
      </c>
      <c r="B24" s="188"/>
      <c r="C24" s="188"/>
      <c r="D24" s="83">
        <v>2</v>
      </c>
      <c r="E24" s="83" t="s">
        <v>247</v>
      </c>
      <c r="F24" s="123" t="str">
        <f>INDEX(Table_Name[Name list],MATCH(E24,Table_Name[category],0))</f>
        <v>سحب_افقي_ظهر[التمرين]</v>
      </c>
      <c r="G24" s="124" t="s">
        <v>252</v>
      </c>
      <c r="H24" s="95" t="str">
        <f>INDEX(Links[الرابط],MATCH(G24,Links[التمرين],0))</f>
        <v>https://www.youtube.com/watch?v=DMo3HJoawrU&amp;list=PLyqKj7LwU2RsCtKw3UlE85HYgPM3-xoO1&amp;index=23</v>
      </c>
      <c r="I24" s="125" t="str">
        <f t="shared" ref="I24:I26" si="72">HYPERLINK(H24,"Watch")</f>
        <v>Watch</v>
      </c>
      <c r="K24" s="80" t="str">
        <f t="shared" si="66"/>
        <v>Dumbbell one arm bent over row</v>
      </c>
      <c r="L24" s="83">
        <v>3</v>
      </c>
      <c r="M24" s="103" t="s">
        <v>812</v>
      </c>
      <c r="N24" s="74"/>
      <c r="O24" s="77"/>
      <c r="P24" s="109" t="s">
        <v>771</v>
      </c>
      <c r="Q24" s="94"/>
      <c r="R24" s="80" t="str">
        <f t="shared" si="67"/>
        <v>Dumbbell one arm bent over row</v>
      </c>
      <c r="S24" s="83">
        <v>3</v>
      </c>
      <c r="T24" s="102" t="str">
        <f t="shared" ref="T24:T26" si="73">M24</f>
        <v>6-12</v>
      </c>
      <c r="U24" s="74"/>
      <c r="V24" s="77"/>
      <c r="W24" s="109" t="str">
        <f>P24</f>
        <v>60-120 ثانية</v>
      </c>
      <c r="X24" s="107"/>
      <c r="Z24" s="80" t="str">
        <f t="shared" si="68"/>
        <v>Dumbbell one arm bent over row</v>
      </c>
      <c r="AA24" s="83">
        <v>3</v>
      </c>
      <c r="AB24" s="102" t="str">
        <f t="shared" ref="AB24:AB26" si="74">M24</f>
        <v>6-12</v>
      </c>
      <c r="AC24" s="74"/>
      <c r="AD24" s="77"/>
      <c r="AE24" s="109" t="str">
        <f t="shared" ref="AE24:AE25" si="75">P24</f>
        <v>60-120 ثانية</v>
      </c>
      <c r="AF24" s="107"/>
      <c r="AH24" s="80" t="str">
        <f t="shared" si="69"/>
        <v>Dumbbell one arm bent over row</v>
      </c>
      <c r="AI24" s="83">
        <v>4</v>
      </c>
      <c r="AJ24" s="102" t="str">
        <f t="shared" ref="AJ24:AJ26" si="76">M24</f>
        <v>6-12</v>
      </c>
      <c r="AK24" s="74"/>
      <c r="AL24" s="77"/>
      <c r="AM24" s="109" t="str">
        <f t="shared" ref="AM24:AM25" si="77">P24</f>
        <v>60-120 ثانية</v>
      </c>
      <c r="AN24" s="107"/>
      <c r="AP24" s="80" t="str">
        <f t="shared" si="70"/>
        <v>Dumbbell one arm bent over row</v>
      </c>
      <c r="AQ24" s="83">
        <v>4</v>
      </c>
      <c r="AR24" s="102" t="str">
        <f t="shared" ref="AR24:AR26" si="78">M24</f>
        <v>6-12</v>
      </c>
      <c r="AS24" s="74"/>
      <c r="AT24" s="77"/>
      <c r="AU24" s="109" t="str">
        <f t="shared" ref="AU24:AU25" si="79">P24</f>
        <v>60-120 ثانية</v>
      </c>
      <c r="AV24" s="107"/>
      <c r="AX24" s="80" t="str">
        <f t="shared" ref="AX24:AX26" si="80">G24</f>
        <v>Dumbbell one arm bent over row</v>
      </c>
      <c r="AY24" s="83">
        <v>4</v>
      </c>
      <c r="AZ24" s="102" t="str">
        <f t="shared" ref="AZ24:AZ26" si="81">M24</f>
        <v>6-12</v>
      </c>
      <c r="BA24" s="74"/>
      <c r="BB24" s="77"/>
      <c r="BC24" s="149" t="str">
        <f t="shared" ref="BC24:BC26" si="82">P24</f>
        <v>60-120 ثانية</v>
      </c>
      <c r="BD24" s="107"/>
      <c r="BE24" s="138"/>
      <c r="BF24" s="80" t="str">
        <f t="shared" ref="BF24:BF28" si="83">G24</f>
        <v>Dumbbell one arm bent over row</v>
      </c>
      <c r="BG24" s="83">
        <v>4</v>
      </c>
      <c r="BH24" s="102" t="str">
        <f t="shared" ref="BH24:BH28" si="84">M24</f>
        <v>6-12</v>
      </c>
      <c r="BI24" s="167"/>
      <c r="BJ24" s="168"/>
      <c r="BK24" s="149" t="str">
        <f t="shared" ref="BK24:BK28" si="85">P24</f>
        <v>60-120 ثانية</v>
      </c>
      <c r="BL24" s="107"/>
      <c r="BM24" s="82"/>
      <c r="BN24" s="80" t="str">
        <f t="shared" ref="BN24:BN28" si="86">G24</f>
        <v>Dumbbell one arm bent over row</v>
      </c>
      <c r="BO24" s="83">
        <v>4</v>
      </c>
      <c r="BP24" s="102" t="str">
        <f t="shared" ref="BP24:BP28" si="87">M24</f>
        <v>6-12</v>
      </c>
      <c r="BQ24" s="167"/>
      <c r="BR24" s="168"/>
      <c r="BS24" s="149" t="str">
        <f t="shared" ref="BS24:BS28" si="88">P24</f>
        <v>60-120 ثانية</v>
      </c>
      <c r="BT24" s="107"/>
      <c r="BU24" s="82"/>
      <c r="BV24" s="80" t="str">
        <f t="shared" ref="BV24:BV28" si="89">G24</f>
        <v>Dumbbell one arm bent over row</v>
      </c>
      <c r="BW24" s="83">
        <v>4</v>
      </c>
      <c r="BX24" s="102" t="str">
        <f t="shared" ref="BX24:BX28" si="90">M24</f>
        <v>6-12</v>
      </c>
      <c r="BY24" s="167"/>
      <c r="BZ24" s="168"/>
      <c r="CA24" s="149" t="str">
        <f t="shared" ref="CA24:CA27" si="91">P24</f>
        <v>60-120 ثانية</v>
      </c>
      <c r="CB24" s="107"/>
      <c r="CC24" s="82"/>
      <c r="CD24" s="80" t="str">
        <f t="shared" ref="CD24:CD28" si="92">G24</f>
        <v>Dumbbell one arm bent over row</v>
      </c>
      <c r="CE24" s="83">
        <v>4</v>
      </c>
      <c r="CF24" s="102" t="str">
        <f t="shared" ref="CF24:CF28" si="93">M24</f>
        <v>6-12</v>
      </c>
      <c r="CG24" s="167"/>
      <c r="CH24" s="168"/>
      <c r="CI24" s="149" t="str">
        <f t="shared" ref="CI24:CI26" si="94">P24</f>
        <v>60-120 ثانية</v>
      </c>
      <c r="CJ24" s="107"/>
      <c r="CK24" s="82"/>
      <c r="CL24" s="80" t="str">
        <f t="shared" ref="CL24:CL28" si="95">G24</f>
        <v>Dumbbell one arm bent over row</v>
      </c>
      <c r="CM24" s="83">
        <v>4</v>
      </c>
      <c r="CN24" s="102" t="str">
        <f t="shared" ref="CN24:CN28" si="96">M24</f>
        <v>6-12</v>
      </c>
      <c r="CO24" s="167"/>
      <c r="CP24" s="168"/>
      <c r="CQ24" s="149" t="str">
        <f t="shared" ref="CQ24:CQ28" si="97">P24</f>
        <v>60-120 ثانية</v>
      </c>
      <c r="CR24" s="107"/>
      <c r="CS24" s="137"/>
      <c r="CT24" s="80" t="str">
        <f t="shared" si="71"/>
        <v>Dumbbell one arm bent over row</v>
      </c>
      <c r="CU24" s="166">
        <v>2</v>
      </c>
      <c r="CV24" s="167"/>
      <c r="CW24" s="168"/>
      <c r="CX24" s="254"/>
      <c r="CY24" s="138"/>
    </row>
    <row r="25" spans="1:103" ht="26.25" customHeight="1">
      <c r="A25" s="83">
        <v>3</v>
      </c>
      <c r="B25" s="188"/>
      <c r="C25" s="188"/>
      <c r="D25" s="83">
        <v>3</v>
      </c>
      <c r="E25" s="122" t="s">
        <v>11</v>
      </c>
      <c r="F25" s="123" t="str">
        <f>INDEX(Table_Name[Name list],MATCH(E25,Table_Name[category],0))</f>
        <v>بايسيبس[التمرين]</v>
      </c>
      <c r="G25" s="124" t="s">
        <v>405</v>
      </c>
      <c r="H25" s="95" t="str">
        <f>INDEX(Links[الرابط],MATCH(G25,Links[التمرين],0))</f>
        <v>https://vimeo.com/146713814</v>
      </c>
      <c r="I25" s="125" t="str">
        <f t="shared" si="72"/>
        <v>Watch</v>
      </c>
      <c r="K25" s="80" t="str">
        <f t="shared" si="66"/>
        <v>Dumbbell seated biceps curl</v>
      </c>
      <c r="L25" s="83">
        <v>3</v>
      </c>
      <c r="M25" s="103" t="s">
        <v>812</v>
      </c>
      <c r="N25" s="75"/>
      <c r="O25" s="78"/>
      <c r="P25" s="109" t="s">
        <v>771</v>
      </c>
      <c r="Q25" s="94"/>
      <c r="R25" s="80" t="str">
        <f t="shared" si="67"/>
        <v>Dumbbell seated biceps curl</v>
      </c>
      <c r="S25" s="83">
        <v>3</v>
      </c>
      <c r="T25" s="102" t="str">
        <f t="shared" si="73"/>
        <v>6-12</v>
      </c>
      <c r="U25" s="75"/>
      <c r="V25" s="78"/>
      <c r="W25" s="109" t="str">
        <f t="shared" ref="W25:W26" si="98">P25</f>
        <v>60-120 ثانية</v>
      </c>
      <c r="X25" s="107"/>
      <c r="Z25" s="80" t="str">
        <f t="shared" si="68"/>
        <v>Dumbbell seated biceps curl</v>
      </c>
      <c r="AA25" s="83">
        <v>3</v>
      </c>
      <c r="AB25" s="102" t="str">
        <f t="shared" si="74"/>
        <v>6-12</v>
      </c>
      <c r="AC25" s="75"/>
      <c r="AD25" s="78"/>
      <c r="AE25" s="109" t="str">
        <f t="shared" si="75"/>
        <v>60-120 ثانية</v>
      </c>
      <c r="AF25" s="107"/>
      <c r="AH25" s="80" t="str">
        <f t="shared" si="69"/>
        <v>Dumbbell seated biceps curl</v>
      </c>
      <c r="AI25" s="83">
        <v>3</v>
      </c>
      <c r="AJ25" s="102" t="str">
        <f t="shared" si="76"/>
        <v>6-12</v>
      </c>
      <c r="AK25" s="75"/>
      <c r="AL25" s="78"/>
      <c r="AM25" s="109" t="str">
        <f t="shared" si="77"/>
        <v>60-120 ثانية</v>
      </c>
      <c r="AN25" s="107"/>
      <c r="AP25" s="80" t="str">
        <f t="shared" si="70"/>
        <v>Dumbbell seated biceps curl</v>
      </c>
      <c r="AQ25" s="83">
        <v>3</v>
      </c>
      <c r="AR25" s="102" t="str">
        <f t="shared" si="78"/>
        <v>6-12</v>
      </c>
      <c r="AS25" s="75"/>
      <c r="AT25" s="78"/>
      <c r="AU25" s="109" t="str">
        <f t="shared" si="79"/>
        <v>60-120 ثانية</v>
      </c>
      <c r="AV25" s="107"/>
      <c r="AX25" s="80" t="str">
        <f t="shared" si="80"/>
        <v>Dumbbell seated biceps curl</v>
      </c>
      <c r="AY25" s="83">
        <v>3</v>
      </c>
      <c r="AZ25" s="102" t="str">
        <f t="shared" si="81"/>
        <v>6-12</v>
      </c>
      <c r="BA25" s="75"/>
      <c r="BB25" s="78"/>
      <c r="BC25" s="149" t="str">
        <f t="shared" si="82"/>
        <v>60-120 ثانية</v>
      </c>
      <c r="BD25" s="107"/>
      <c r="BE25" s="138"/>
      <c r="BF25" s="80" t="str">
        <f t="shared" si="83"/>
        <v>Dumbbell seated biceps curl</v>
      </c>
      <c r="BG25" s="83">
        <v>3</v>
      </c>
      <c r="BH25" s="102" t="str">
        <f t="shared" si="84"/>
        <v>6-12</v>
      </c>
      <c r="BI25" s="167"/>
      <c r="BJ25" s="168"/>
      <c r="BK25" s="149" t="str">
        <f t="shared" si="85"/>
        <v>60-120 ثانية</v>
      </c>
      <c r="BL25" s="107"/>
      <c r="BM25" s="82"/>
      <c r="BN25" s="80" t="str">
        <f t="shared" si="86"/>
        <v>Dumbbell seated biceps curl</v>
      </c>
      <c r="BO25" s="83">
        <v>3</v>
      </c>
      <c r="BP25" s="102" t="str">
        <f t="shared" si="87"/>
        <v>6-12</v>
      </c>
      <c r="BQ25" s="167"/>
      <c r="BR25" s="168"/>
      <c r="BS25" s="149" t="str">
        <f t="shared" si="88"/>
        <v>60-120 ثانية</v>
      </c>
      <c r="BT25" s="107"/>
      <c r="BU25" s="82"/>
      <c r="BV25" s="80" t="str">
        <f t="shared" si="89"/>
        <v>Dumbbell seated biceps curl</v>
      </c>
      <c r="BW25" s="83">
        <v>3</v>
      </c>
      <c r="BX25" s="102" t="str">
        <f t="shared" si="90"/>
        <v>6-12</v>
      </c>
      <c r="BY25" s="167"/>
      <c r="BZ25" s="168"/>
      <c r="CA25" s="149" t="str">
        <f t="shared" si="91"/>
        <v>60-120 ثانية</v>
      </c>
      <c r="CB25" s="107"/>
      <c r="CC25" s="82"/>
      <c r="CD25" s="80" t="str">
        <f t="shared" si="92"/>
        <v>Dumbbell seated biceps curl</v>
      </c>
      <c r="CE25" s="83">
        <v>3</v>
      </c>
      <c r="CF25" s="102" t="str">
        <f t="shared" si="93"/>
        <v>6-12</v>
      </c>
      <c r="CG25" s="167"/>
      <c r="CH25" s="168"/>
      <c r="CI25" s="149" t="str">
        <f t="shared" si="94"/>
        <v>60-120 ثانية</v>
      </c>
      <c r="CJ25" s="107"/>
      <c r="CK25" s="82"/>
      <c r="CL25" s="80" t="str">
        <f t="shared" si="95"/>
        <v>Dumbbell seated biceps curl</v>
      </c>
      <c r="CM25" s="83">
        <v>3</v>
      </c>
      <c r="CN25" s="102" t="str">
        <f t="shared" si="96"/>
        <v>6-12</v>
      </c>
      <c r="CO25" s="167"/>
      <c r="CP25" s="168"/>
      <c r="CQ25" s="149" t="str">
        <f t="shared" si="97"/>
        <v>60-120 ثانية</v>
      </c>
      <c r="CR25" s="107"/>
      <c r="CS25" s="137"/>
      <c r="CT25" s="80" t="str">
        <f t="shared" si="71"/>
        <v>Dumbbell seated biceps curl</v>
      </c>
      <c r="CU25" s="166">
        <v>2</v>
      </c>
      <c r="CV25" s="167"/>
      <c r="CW25" s="168"/>
      <c r="CX25" s="254"/>
      <c r="CY25" s="138"/>
    </row>
    <row r="26" spans="1:103" ht="26.25" customHeight="1">
      <c r="A26" s="83">
        <v>4</v>
      </c>
      <c r="B26" s="188"/>
      <c r="C26" s="188"/>
      <c r="D26" s="83">
        <v>4</v>
      </c>
      <c r="E26" s="122" t="s">
        <v>11</v>
      </c>
      <c r="F26" s="123" t="str">
        <f>INDEX(Table_Name[Name list],MATCH(E26,Table_Name[category],0))</f>
        <v>بايسيبس[التمرين]</v>
      </c>
      <c r="G26" s="124" t="s">
        <v>298</v>
      </c>
      <c r="H26" s="95" t="str">
        <f>INDEX(Links[الرابط],MATCH(G26,Links[التمرين],0))</f>
        <v>https://www.youtube.com/watch?v=Ja6ZlIDONac&amp;list=PLyqKj7LwU2Rt1cwOsHwdXa2TiRzjA6uoB&amp;index=15</v>
      </c>
      <c r="I26" s="125" t="str">
        <f t="shared" si="72"/>
        <v>Watch</v>
      </c>
      <c r="K26" s="80" t="str">
        <f t="shared" si="66"/>
        <v>Machine preacher curl</v>
      </c>
      <c r="L26" s="83">
        <v>3</v>
      </c>
      <c r="M26" s="103" t="s">
        <v>812</v>
      </c>
      <c r="N26" s="75"/>
      <c r="O26" s="78"/>
      <c r="P26" s="109" t="s">
        <v>771</v>
      </c>
      <c r="Q26" s="94"/>
      <c r="R26" s="80" t="str">
        <f t="shared" si="67"/>
        <v>Machine preacher curl</v>
      </c>
      <c r="S26" s="83">
        <v>3</v>
      </c>
      <c r="T26" s="102" t="str">
        <f t="shared" si="73"/>
        <v>6-12</v>
      </c>
      <c r="U26" s="75"/>
      <c r="V26" s="78"/>
      <c r="W26" s="109" t="str">
        <f t="shared" si="98"/>
        <v>60-120 ثانية</v>
      </c>
      <c r="X26" s="107"/>
      <c r="Z26" s="80" t="str">
        <f t="shared" si="68"/>
        <v>Machine preacher curl</v>
      </c>
      <c r="AA26" s="83">
        <v>4</v>
      </c>
      <c r="AB26" s="102" t="str">
        <f t="shared" si="74"/>
        <v>6-12</v>
      </c>
      <c r="AC26" s="75"/>
      <c r="AD26" s="78"/>
      <c r="AE26" s="109" t="str">
        <f>P26</f>
        <v>60-120 ثانية</v>
      </c>
      <c r="AF26" s="107"/>
      <c r="AH26" s="80" t="str">
        <f t="shared" si="69"/>
        <v>Machine preacher curl</v>
      </c>
      <c r="AI26" s="83">
        <v>4</v>
      </c>
      <c r="AJ26" s="102" t="str">
        <f t="shared" si="76"/>
        <v>6-12</v>
      </c>
      <c r="AK26" s="75"/>
      <c r="AL26" s="78"/>
      <c r="AM26" s="109" t="str">
        <f>P26</f>
        <v>60-120 ثانية</v>
      </c>
      <c r="AN26" s="107"/>
      <c r="AP26" s="80" t="str">
        <f t="shared" si="70"/>
        <v>Machine preacher curl</v>
      </c>
      <c r="AQ26" s="83">
        <v>4</v>
      </c>
      <c r="AR26" s="102" t="str">
        <f t="shared" si="78"/>
        <v>6-12</v>
      </c>
      <c r="AS26" s="75"/>
      <c r="AT26" s="78"/>
      <c r="AU26" s="109" t="str">
        <f>P26</f>
        <v>60-120 ثانية</v>
      </c>
      <c r="AV26" s="107"/>
      <c r="AX26" s="80" t="str">
        <f t="shared" si="80"/>
        <v>Machine preacher curl</v>
      </c>
      <c r="AY26" s="83">
        <v>4</v>
      </c>
      <c r="AZ26" s="102" t="str">
        <f t="shared" si="81"/>
        <v>6-12</v>
      </c>
      <c r="BA26" s="75"/>
      <c r="BB26" s="78"/>
      <c r="BC26" s="149" t="str">
        <f t="shared" si="82"/>
        <v>60-120 ثانية</v>
      </c>
      <c r="BD26" s="107"/>
      <c r="BE26" s="138"/>
      <c r="BF26" s="80" t="str">
        <f t="shared" si="83"/>
        <v>Machine preacher curl</v>
      </c>
      <c r="BG26" s="83">
        <v>4</v>
      </c>
      <c r="BH26" s="102" t="str">
        <f t="shared" si="84"/>
        <v>6-12</v>
      </c>
      <c r="BI26" s="167"/>
      <c r="BJ26" s="168"/>
      <c r="BK26" s="149" t="str">
        <f t="shared" si="85"/>
        <v>60-120 ثانية</v>
      </c>
      <c r="BL26" s="107"/>
      <c r="BM26" s="82"/>
      <c r="BN26" s="80" t="str">
        <f t="shared" si="86"/>
        <v>Machine preacher curl</v>
      </c>
      <c r="BO26" s="83">
        <v>4</v>
      </c>
      <c r="BP26" s="102" t="str">
        <f t="shared" si="87"/>
        <v>6-12</v>
      </c>
      <c r="BQ26" s="167"/>
      <c r="BR26" s="168"/>
      <c r="BS26" s="149" t="str">
        <f t="shared" si="88"/>
        <v>60-120 ثانية</v>
      </c>
      <c r="BT26" s="107"/>
      <c r="BU26" s="82"/>
      <c r="BV26" s="80" t="str">
        <f t="shared" si="89"/>
        <v>Machine preacher curl</v>
      </c>
      <c r="BW26" s="83">
        <v>4</v>
      </c>
      <c r="BX26" s="102" t="str">
        <f t="shared" si="90"/>
        <v>6-12</v>
      </c>
      <c r="BY26" s="167"/>
      <c r="BZ26" s="168"/>
      <c r="CA26" s="149" t="str">
        <f t="shared" si="91"/>
        <v>60-120 ثانية</v>
      </c>
      <c r="CB26" s="107"/>
      <c r="CC26" s="82"/>
      <c r="CD26" s="80" t="str">
        <f t="shared" si="92"/>
        <v>Machine preacher curl</v>
      </c>
      <c r="CE26" s="83">
        <v>4</v>
      </c>
      <c r="CF26" s="102" t="str">
        <f t="shared" si="93"/>
        <v>6-12</v>
      </c>
      <c r="CG26" s="167"/>
      <c r="CH26" s="168"/>
      <c r="CI26" s="149" t="str">
        <f t="shared" si="94"/>
        <v>60-120 ثانية</v>
      </c>
      <c r="CJ26" s="107"/>
      <c r="CK26" s="82"/>
      <c r="CL26" s="80" t="str">
        <f t="shared" si="95"/>
        <v>Machine preacher curl</v>
      </c>
      <c r="CM26" s="83">
        <v>4</v>
      </c>
      <c r="CN26" s="102" t="str">
        <f t="shared" si="96"/>
        <v>6-12</v>
      </c>
      <c r="CO26" s="167"/>
      <c r="CP26" s="168"/>
      <c r="CQ26" s="149" t="str">
        <f t="shared" si="97"/>
        <v>60-120 ثانية</v>
      </c>
      <c r="CR26" s="107"/>
      <c r="CS26" s="137"/>
      <c r="CT26" s="80" t="str">
        <f t="shared" si="71"/>
        <v>Machine preacher curl</v>
      </c>
      <c r="CU26" s="166">
        <v>2</v>
      </c>
      <c r="CV26" s="167"/>
      <c r="CW26" s="168"/>
      <c r="CX26" s="254"/>
      <c r="CY26" s="138"/>
    </row>
    <row r="27" spans="1:103" ht="26.25" customHeight="1">
      <c r="A27" s="83">
        <v>5</v>
      </c>
      <c r="B27" s="244"/>
      <c r="C27" s="245"/>
      <c r="D27" s="83">
        <v>5</v>
      </c>
      <c r="E27" s="122" t="s">
        <v>23</v>
      </c>
      <c r="F27" s="123" t="str">
        <f>INDEX(Table_Name[Name list],MATCH(E27,Table_Name[category],0))</f>
        <v>أكتاف_خلفي[التمرين]</v>
      </c>
      <c r="G27" s="124" t="s">
        <v>26</v>
      </c>
      <c r="H27" s="95" t="str">
        <f>INDEX(Links[الرابط],MATCH(G27,Links[التمرين],0))</f>
        <v>https://www.youtube.com/watch?v=5YK4bgzXDp0&amp;list=PLyqKj7LwU2Rv-tzrJev2STMTIGt_JeugT&amp;index=9</v>
      </c>
      <c r="I27" s="125" t="str">
        <f t="shared" ref="I27:I28" si="99">HYPERLINK(H27,"Watch")</f>
        <v>Watch</v>
      </c>
      <c r="K27" s="80" t="str">
        <f t="shared" si="66"/>
        <v>Machine reverse fly</v>
      </c>
      <c r="L27" s="133">
        <v>3</v>
      </c>
      <c r="M27" s="103" t="s">
        <v>812</v>
      </c>
      <c r="N27" s="75"/>
      <c r="O27" s="78"/>
      <c r="P27" s="109" t="s">
        <v>771</v>
      </c>
      <c r="Q27" s="94"/>
      <c r="R27" s="80" t="str">
        <f t="shared" si="67"/>
        <v>Machine reverse fly</v>
      </c>
      <c r="S27" s="133">
        <v>3</v>
      </c>
      <c r="T27" s="102" t="str">
        <f t="shared" ref="T27:T28" si="100">M27</f>
        <v>6-12</v>
      </c>
      <c r="U27" s="99"/>
      <c r="V27" s="78"/>
      <c r="W27" s="109" t="str">
        <f>P27</f>
        <v>60-120 ثانية</v>
      </c>
      <c r="X27" s="107"/>
      <c r="Z27" s="80" t="str">
        <f t="shared" si="68"/>
        <v>Machine reverse fly</v>
      </c>
      <c r="AA27" s="133">
        <v>3</v>
      </c>
      <c r="AB27" s="102" t="str">
        <f>M27</f>
        <v>6-12</v>
      </c>
      <c r="AC27" s="99"/>
      <c r="AD27" s="78"/>
      <c r="AE27" s="109" t="str">
        <f>P27</f>
        <v>60-120 ثانية</v>
      </c>
      <c r="AF27" s="107"/>
      <c r="AH27" s="80" t="str">
        <f t="shared" si="69"/>
        <v>Machine reverse fly</v>
      </c>
      <c r="AI27" s="133">
        <v>3</v>
      </c>
      <c r="AJ27" s="102" t="str">
        <f t="shared" ref="AJ27:AJ28" si="101">M27</f>
        <v>6-12</v>
      </c>
      <c r="AK27" s="99"/>
      <c r="AL27" s="78"/>
      <c r="AM27" s="109" t="str">
        <f>P27</f>
        <v>60-120 ثانية</v>
      </c>
      <c r="AN27" s="107"/>
      <c r="AP27" s="80" t="str">
        <f t="shared" si="70"/>
        <v>Machine reverse fly</v>
      </c>
      <c r="AQ27" s="133">
        <v>3</v>
      </c>
      <c r="AR27" s="102" t="str">
        <f t="shared" ref="AR27:AR28" si="102">M27</f>
        <v>6-12</v>
      </c>
      <c r="AS27" s="99"/>
      <c r="AT27" s="78"/>
      <c r="AU27" s="109" t="str">
        <f>P27</f>
        <v>60-120 ثانية</v>
      </c>
      <c r="AV27" s="107"/>
      <c r="AX27" s="80" t="str">
        <f t="shared" ref="AX27:AX28" si="103">G27</f>
        <v>Machine reverse fly</v>
      </c>
      <c r="AY27" s="133">
        <v>3</v>
      </c>
      <c r="AZ27" s="102" t="str">
        <f t="shared" ref="AZ27:AZ28" si="104">M27</f>
        <v>6-12</v>
      </c>
      <c r="BA27" s="99"/>
      <c r="BB27" s="78"/>
      <c r="BC27" s="149" t="str">
        <f t="shared" ref="BC27:BC28" si="105">P27</f>
        <v>60-120 ثانية</v>
      </c>
      <c r="BD27" s="107"/>
      <c r="BE27" s="138"/>
      <c r="BF27" s="80" t="str">
        <f t="shared" si="83"/>
        <v>Machine reverse fly</v>
      </c>
      <c r="BG27" s="133">
        <v>3</v>
      </c>
      <c r="BH27" s="102" t="str">
        <f t="shared" si="84"/>
        <v>6-12</v>
      </c>
      <c r="BI27" s="163"/>
      <c r="BJ27" s="168"/>
      <c r="BK27" s="149" t="str">
        <f t="shared" si="85"/>
        <v>60-120 ثانية</v>
      </c>
      <c r="BL27" s="107"/>
      <c r="BM27" s="82"/>
      <c r="BN27" s="80" t="str">
        <f t="shared" si="86"/>
        <v>Machine reverse fly</v>
      </c>
      <c r="BO27" s="133">
        <v>3</v>
      </c>
      <c r="BP27" s="102" t="str">
        <f t="shared" si="87"/>
        <v>6-12</v>
      </c>
      <c r="BQ27" s="163"/>
      <c r="BR27" s="168"/>
      <c r="BS27" s="149" t="str">
        <f t="shared" si="88"/>
        <v>60-120 ثانية</v>
      </c>
      <c r="BT27" s="107"/>
      <c r="BU27" s="82"/>
      <c r="BV27" s="80" t="str">
        <f t="shared" si="89"/>
        <v>Machine reverse fly</v>
      </c>
      <c r="BW27" s="133">
        <v>3</v>
      </c>
      <c r="BX27" s="102" t="str">
        <f t="shared" si="90"/>
        <v>6-12</v>
      </c>
      <c r="BY27" s="163"/>
      <c r="BZ27" s="168"/>
      <c r="CA27" s="149" t="str">
        <f t="shared" si="91"/>
        <v>60-120 ثانية</v>
      </c>
      <c r="CB27" s="107"/>
      <c r="CC27" s="82"/>
      <c r="CD27" s="80" t="str">
        <f t="shared" si="92"/>
        <v>Machine reverse fly</v>
      </c>
      <c r="CE27" s="133">
        <v>3</v>
      </c>
      <c r="CF27" s="102" t="str">
        <f t="shared" si="93"/>
        <v>6-12</v>
      </c>
      <c r="CG27" s="163"/>
      <c r="CH27" s="168"/>
      <c r="CI27" s="149" t="str">
        <f>P27</f>
        <v>60-120 ثانية</v>
      </c>
      <c r="CJ27" s="107"/>
      <c r="CK27" s="82"/>
      <c r="CL27" s="80" t="str">
        <f t="shared" si="95"/>
        <v>Machine reverse fly</v>
      </c>
      <c r="CM27" s="133">
        <v>3</v>
      </c>
      <c r="CN27" s="102" t="str">
        <f t="shared" si="96"/>
        <v>6-12</v>
      </c>
      <c r="CO27" s="163"/>
      <c r="CP27" s="168"/>
      <c r="CQ27" s="149" t="str">
        <f t="shared" si="97"/>
        <v>60-120 ثانية</v>
      </c>
      <c r="CR27" s="107"/>
      <c r="CS27" s="137"/>
      <c r="CT27" s="80" t="str">
        <f t="shared" si="71"/>
        <v>Machine reverse fly</v>
      </c>
      <c r="CU27" s="166">
        <v>2</v>
      </c>
      <c r="CV27" s="167"/>
      <c r="CW27" s="168"/>
      <c r="CX27" s="254"/>
      <c r="CY27" s="138"/>
    </row>
    <row r="28" spans="1:103" ht="26.25" customHeight="1">
      <c r="A28" s="122">
        <v>6</v>
      </c>
      <c r="B28" s="188"/>
      <c r="C28" s="188"/>
      <c r="D28" s="122">
        <v>6</v>
      </c>
      <c r="E28" s="122" t="s">
        <v>13</v>
      </c>
      <c r="F28" s="123" t="str">
        <f>INDEX(Table_Name[Name list],MATCH(E28,Table_Name[category],0))</f>
        <v>بطن[التمرين]</v>
      </c>
      <c r="G28" s="124" t="s">
        <v>801</v>
      </c>
      <c r="H28" s="95" t="str">
        <f>INDEX(Links[الرابط],MATCH(G28,Links[التمرين],0))</f>
        <v>https://www.youtube.com/watch?v=V7p_DmkYLZw</v>
      </c>
      <c r="I28" s="125" t="str">
        <f t="shared" si="99"/>
        <v>Watch</v>
      </c>
      <c r="K28" s="80" t="str">
        <f t="shared" si="66"/>
        <v>Machine full crunch</v>
      </c>
      <c r="L28" s="83">
        <v>3</v>
      </c>
      <c r="M28" s="84" t="s">
        <v>812</v>
      </c>
      <c r="N28" s="75"/>
      <c r="O28" s="78"/>
      <c r="P28" s="109" t="s">
        <v>771</v>
      </c>
      <c r="Q28" s="94"/>
      <c r="R28" s="80" t="str">
        <f t="shared" si="67"/>
        <v>Machine full crunch</v>
      </c>
      <c r="S28" s="83">
        <v>3</v>
      </c>
      <c r="T28" s="102" t="str">
        <f t="shared" si="100"/>
        <v>6-12</v>
      </c>
      <c r="U28" s="75"/>
      <c r="V28" s="78"/>
      <c r="W28" s="109" t="str">
        <f t="shared" ref="W28" si="106">P28</f>
        <v>60-120 ثانية</v>
      </c>
      <c r="X28" s="107"/>
      <c r="Z28" s="80" t="str">
        <f t="shared" si="68"/>
        <v>Machine full crunch</v>
      </c>
      <c r="AA28" s="83">
        <v>3</v>
      </c>
      <c r="AB28" s="102" t="str">
        <f t="shared" ref="AB28" si="107">M28</f>
        <v>6-12</v>
      </c>
      <c r="AC28" s="75"/>
      <c r="AD28" s="78"/>
      <c r="AE28" s="109" t="str">
        <f t="shared" ref="AE28" si="108">P28</f>
        <v>60-120 ثانية</v>
      </c>
      <c r="AF28" s="107"/>
      <c r="AH28" s="80" t="str">
        <f t="shared" si="69"/>
        <v>Machine full crunch</v>
      </c>
      <c r="AI28" s="83">
        <v>3</v>
      </c>
      <c r="AJ28" s="102" t="str">
        <f t="shared" si="101"/>
        <v>6-12</v>
      </c>
      <c r="AK28" s="75"/>
      <c r="AL28" s="78"/>
      <c r="AM28" s="109" t="str">
        <f t="shared" ref="AM28" si="109">P28</f>
        <v>60-120 ثانية</v>
      </c>
      <c r="AN28" s="107"/>
      <c r="AP28" s="80" t="str">
        <f t="shared" si="70"/>
        <v>Machine full crunch</v>
      </c>
      <c r="AQ28" s="83">
        <v>3</v>
      </c>
      <c r="AR28" s="102" t="str">
        <f t="shared" si="102"/>
        <v>6-12</v>
      </c>
      <c r="AS28" s="75"/>
      <c r="AT28" s="78"/>
      <c r="AU28" s="109" t="str">
        <f t="shared" ref="AU28" si="110">P28</f>
        <v>60-120 ثانية</v>
      </c>
      <c r="AV28" s="107"/>
      <c r="AX28" s="80" t="str">
        <f t="shared" si="103"/>
        <v>Machine full crunch</v>
      </c>
      <c r="AY28" s="83">
        <v>3</v>
      </c>
      <c r="AZ28" s="102" t="str">
        <f t="shared" si="104"/>
        <v>6-12</v>
      </c>
      <c r="BA28" s="75"/>
      <c r="BB28" s="78"/>
      <c r="BC28" s="149" t="str">
        <f t="shared" si="105"/>
        <v>60-120 ثانية</v>
      </c>
      <c r="BD28" s="107"/>
      <c r="BE28" s="138"/>
      <c r="BF28" s="80" t="str">
        <f t="shared" si="83"/>
        <v>Machine full crunch</v>
      </c>
      <c r="BG28" s="83">
        <v>3</v>
      </c>
      <c r="BH28" s="102" t="str">
        <f t="shared" si="84"/>
        <v>6-12</v>
      </c>
      <c r="BI28" s="167"/>
      <c r="BJ28" s="168"/>
      <c r="BK28" s="149" t="str">
        <f t="shared" si="85"/>
        <v>60-120 ثانية</v>
      </c>
      <c r="BL28" s="107"/>
      <c r="BM28" s="82"/>
      <c r="BN28" s="80" t="str">
        <f t="shared" si="86"/>
        <v>Machine full crunch</v>
      </c>
      <c r="BO28" s="83">
        <v>3</v>
      </c>
      <c r="BP28" s="102" t="str">
        <f t="shared" si="87"/>
        <v>6-12</v>
      </c>
      <c r="BQ28" s="167"/>
      <c r="BR28" s="168"/>
      <c r="BS28" s="149" t="str">
        <f t="shared" si="88"/>
        <v>60-120 ثانية</v>
      </c>
      <c r="BT28" s="107"/>
      <c r="BU28" s="82"/>
      <c r="BV28" s="80" t="str">
        <f t="shared" si="89"/>
        <v>Machine full crunch</v>
      </c>
      <c r="BW28" s="83">
        <v>3</v>
      </c>
      <c r="BX28" s="102" t="str">
        <f t="shared" si="90"/>
        <v>6-12</v>
      </c>
      <c r="BY28" s="167"/>
      <c r="BZ28" s="168"/>
      <c r="CA28" s="109">
        <f t="shared" ref="CA28" si="111">BD28</f>
        <v>0</v>
      </c>
      <c r="CB28" s="107"/>
      <c r="CC28" s="82"/>
      <c r="CD28" s="80" t="str">
        <f t="shared" si="92"/>
        <v>Machine full crunch</v>
      </c>
      <c r="CE28" s="83">
        <v>3</v>
      </c>
      <c r="CF28" s="102" t="str">
        <f t="shared" si="93"/>
        <v>6-12</v>
      </c>
      <c r="CG28" s="167"/>
      <c r="CH28" s="168"/>
      <c r="CI28" s="149" t="str">
        <f>P28</f>
        <v>60-120 ثانية</v>
      </c>
      <c r="CJ28" s="107"/>
      <c r="CK28" s="82"/>
      <c r="CL28" s="80" t="str">
        <f t="shared" si="95"/>
        <v>Machine full crunch</v>
      </c>
      <c r="CM28" s="83">
        <v>3</v>
      </c>
      <c r="CN28" s="102" t="str">
        <f t="shared" si="96"/>
        <v>6-12</v>
      </c>
      <c r="CO28" s="167"/>
      <c r="CP28" s="168"/>
      <c r="CQ28" s="149" t="str">
        <f t="shared" si="97"/>
        <v>60-120 ثانية</v>
      </c>
      <c r="CR28" s="107"/>
      <c r="CS28" s="137"/>
      <c r="CT28" s="80" t="str">
        <f t="shared" si="71"/>
        <v>Machine full crunch</v>
      </c>
      <c r="CU28" s="166">
        <v>2</v>
      </c>
      <c r="CV28" s="167"/>
      <c r="CW28" s="168"/>
      <c r="CX28" s="93"/>
      <c r="CY28" s="138"/>
    </row>
    <row r="29" spans="1:103" s="148" customFormat="1" ht="26.25" customHeight="1" thickBot="1">
      <c r="CS29" s="170"/>
    </row>
    <row r="30" spans="1:103" s="144" customFormat="1" ht="24.95" customHeight="1">
      <c r="B30" s="219" t="s">
        <v>758</v>
      </c>
      <c r="C30" s="220"/>
      <c r="D30" s="277" t="s">
        <v>774</v>
      </c>
      <c r="E30" s="278"/>
      <c r="F30" s="278"/>
      <c r="G30" s="278"/>
      <c r="H30" s="278"/>
      <c r="I30" s="279"/>
      <c r="K30" s="230" t="s">
        <v>759</v>
      </c>
      <c r="L30" s="230"/>
      <c r="M30" s="230"/>
      <c r="N30" s="230"/>
      <c r="O30" s="230"/>
      <c r="P30" s="230"/>
      <c r="Q30" s="88"/>
      <c r="R30" s="237" t="s">
        <v>6</v>
      </c>
      <c r="S30" s="237"/>
      <c r="T30" s="237"/>
      <c r="U30" s="237"/>
      <c r="V30" s="237"/>
      <c r="W30" s="237"/>
      <c r="X30" s="237"/>
      <c r="Z30" s="265" t="s">
        <v>8</v>
      </c>
      <c r="AA30" s="265"/>
      <c r="AB30" s="265"/>
      <c r="AC30" s="265"/>
      <c r="AD30" s="265"/>
      <c r="AE30" s="265"/>
      <c r="AF30" s="265"/>
      <c r="AH30" s="264" t="s">
        <v>7</v>
      </c>
      <c r="AI30" s="264"/>
      <c r="AJ30" s="264"/>
      <c r="AK30" s="264"/>
      <c r="AL30" s="264"/>
      <c r="AM30" s="264"/>
      <c r="AN30" s="264"/>
      <c r="AP30" s="230" t="s">
        <v>33</v>
      </c>
      <c r="AQ30" s="230"/>
      <c r="AR30" s="230"/>
      <c r="AS30" s="230"/>
      <c r="AT30" s="230"/>
      <c r="AU30" s="230"/>
      <c r="AV30" s="230"/>
      <c r="AX30" s="253" t="s">
        <v>442</v>
      </c>
      <c r="AY30" s="253"/>
      <c r="AZ30" s="253"/>
      <c r="BA30" s="253"/>
      <c r="BB30" s="253"/>
      <c r="BC30" s="253"/>
      <c r="BD30" s="253"/>
      <c r="BE30" s="150"/>
      <c r="BF30" s="237" t="s">
        <v>789</v>
      </c>
      <c r="BG30" s="237"/>
      <c r="BH30" s="237"/>
      <c r="BI30" s="237"/>
      <c r="BJ30" s="237"/>
      <c r="BK30" s="237"/>
      <c r="BL30" s="237"/>
      <c r="BN30" s="265" t="s">
        <v>790</v>
      </c>
      <c r="BO30" s="265"/>
      <c r="BP30" s="265"/>
      <c r="BQ30" s="265"/>
      <c r="BR30" s="265"/>
      <c r="BS30" s="265"/>
      <c r="BT30" s="265"/>
      <c r="BV30" s="264" t="s">
        <v>7</v>
      </c>
      <c r="BW30" s="264"/>
      <c r="BX30" s="264"/>
      <c r="BY30" s="264"/>
      <c r="BZ30" s="264"/>
      <c r="CA30" s="264"/>
      <c r="CB30" s="264"/>
      <c r="CD30" s="230" t="s">
        <v>792</v>
      </c>
      <c r="CE30" s="230"/>
      <c r="CF30" s="230"/>
      <c r="CG30" s="230"/>
      <c r="CH30" s="230"/>
      <c r="CI30" s="230"/>
      <c r="CJ30" s="230"/>
      <c r="CL30" s="253" t="s">
        <v>793</v>
      </c>
      <c r="CM30" s="253"/>
      <c r="CN30" s="253"/>
      <c r="CO30" s="253"/>
      <c r="CP30" s="253"/>
      <c r="CQ30" s="253"/>
      <c r="CR30" s="253"/>
      <c r="CS30" s="159"/>
      <c r="CT30" s="252" t="s">
        <v>29</v>
      </c>
      <c r="CU30" s="252"/>
      <c r="CV30" s="252"/>
      <c r="CW30" s="252"/>
      <c r="CX30" s="252"/>
    </row>
    <row r="31" spans="1:103" ht="22.5" customHeight="1" thickBot="1">
      <c r="A31" s="127" t="s">
        <v>9</v>
      </c>
      <c r="B31" s="221"/>
      <c r="C31" s="222"/>
      <c r="D31" s="127" t="s">
        <v>9</v>
      </c>
      <c r="E31" s="128" t="s">
        <v>3</v>
      </c>
      <c r="F31" s="128" t="s">
        <v>0</v>
      </c>
      <c r="G31" s="128" t="s">
        <v>21</v>
      </c>
      <c r="H31" s="128"/>
      <c r="I31" s="129" t="s">
        <v>14</v>
      </c>
      <c r="K31" s="79" t="s">
        <v>766</v>
      </c>
      <c r="L31" s="89" t="s">
        <v>4</v>
      </c>
      <c r="M31" s="120" t="s">
        <v>770</v>
      </c>
      <c r="N31" s="90" t="s">
        <v>5</v>
      </c>
      <c r="O31" s="91" t="s">
        <v>28</v>
      </c>
      <c r="P31" s="108" t="s">
        <v>32</v>
      </c>
      <c r="Q31" s="98"/>
      <c r="R31" s="79" t="s">
        <v>766</v>
      </c>
      <c r="S31" s="89" t="s">
        <v>4</v>
      </c>
      <c r="T31" s="120" t="s">
        <v>770</v>
      </c>
      <c r="U31" s="90" t="s">
        <v>5</v>
      </c>
      <c r="V31" s="91" t="s">
        <v>28</v>
      </c>
      <c r="W31" s="108" t="s">
        <v>32</v>
      </c>
      <c r="X31" s="121" t="s">
        <v>761</v>
      </c>
      <c r="Z31" s="79" t="s">
        <v>766</v>
      </c>
      <c r="AA31" s="89" t="s">
        <v>4</v>
      </c>
      <c r="AB31" s="120" t="s">
        <v>770</v>
      </c>
      <c r="AC31" s="90" t="s">
        <v>5</v>
      </c>
      <c r="AD31" s="91" t="s">
        <v>28</v>
      </c>
      <c r="AE31" s="108" t="s">
        <v>32</v>
      </c>
      <c r="AF31" s="121" t="s">
        <v>761</v>
      </c>
      <c r="AH31" s="79" t="s">
        <v>766</v>
      </c>
      <c r="AI31" s="89" t="s">
        <v>4</v>
      </c>
      <c r="AJ31" s="120" t="s">
        <v>770</v>
      </c>
      <c r="AK31" s="90" t="s">
        <v>5</v>
      </c>
      <c r="AL31" s="91" t="s">
        <v>28</v>
      </c>
      <c r="AM31" s="108" t="s">
        <v>32</v>
      </c>
      <c r="AN31" s="121" t="s">
        <v>761</v>
      </c>
      <c r="AP31" s="79" t="s">
        <v>766</v>
      </c>
      <c r="AQ31" s="89" t="s">
        <v>4</v>
      </c>
      <c r="AR31" s="120" t="s">
        <v>770</v>
      </c>
      <c r="AS31" s="90" t="s">
        <v>5</v>
      </c>
      <c r="AT31" s="91" t="s">
        <v>28</v>
      </c>
      <c r="AU31" s="108" t="s">
        <v>32</v>
      </c>
      <c r="AV31" s="121" t="s">
        <v>761</v>
      </c>
      <c r="AX31" s="79" t="s">
        <v>766</v>
      </c>
      <c r="AY31" s="89" t="s">
        <v>4</v>
      </c>
      <c r="AZ31" s="120" t="s">
        <v>770</v>
      </c>
      <c r="BA31" s="90" t="s">
        <v>5</v>
      </c>
      <c r="BB31" s="91" t="s">
        <v>28</v>
      </c>
      <c r="BC31" s="108" t="s">
        <v>32</v>
      </c>
      <c r="BD31" s="121" t="s">
        <v>761</v>
      </c>
      <c r="BE31" s="151"/>
      <c r="BF31" s="79" t="s">
        <v>766</v>
      </c>
      <c r="BG31" s="89" t="s">
        <v>4</v>
      </c>
      <c r="BH31" s="120" t="s">
        <v>770</v>
      </c>
      <c r="BI31" s="90" t="s">
        <v>5</v>
      </c>
      <c r="BJ31" s="91" t="s">
        <v>28</v>
      </c>
      <c r="BK31" s="108" t="s">
        <v>32</v>
      </c>
      <c r="BL31" s="121" t="s">
        <v>761</v>
      </c>
      <c r="BM31" s="82"/>
      <c r="BN31" s="79" t="s">
        <v>766</v>
      </c>
      <c r="BO31" s="89" t="s">
        <v>4</v>
      </c>
      <c r="BP31" s="120" t="s">
        <v>770</v>
      </c>
      <c r="BQ31" s="90" t="s">
        <v>5</v>
      </c>
      <c r="BR31" s="91" t="s">
        <v>28</v>
      </c>
      <c r="BS31" s="108" t="s">
        <v>32</v>
      </c>
      <c r="BT31" s="121" t="s">
        <v>761</v>
      </c>
      <c r="BU31" s="82"/>
      <c r="BV31" s="79" t="s">
        <v>766</v>
      </c>
      <c r="BW31" s="89" t="s">
        <v>4</v>
      </c>
      <c r="BX31" s="120" t="s">
        <v>770</v>
      </c>
      <c r="BY31" s="90" t="s">
        <v>5</v>
      </c>
      <c r="BZ31" s="91" t="s">
        <v>28</v>
      </c>
      <c r="CA31" s="108" t="s">
        <v>32</v>
      </c>
      <c r="CB31" s="121" t="s">
        <v>761</v>
      </c>
      <c r="CC31" s="82"/>
      <c r="CD31" s="79" t="s">
        <v>766</v>
      </c>
      <c r="CE31" s="89" t="s">
        <v>4</v>
      </c>
      <c r="CF31" s="120" t="s">
        <v>770</v>
      </c>
      <c r="CG31" s="90" t="s">
        <v>5</v>
      </c>
      <c r="CH31" s="91" t="s">
        <v>28</v>
      </c>
      <c r="CI31" s="108" t="s">
        <v>32</v>
      </c>
      <c r="CJ31" s="121" t="s">
        <v>761</v>
      </c>
      <c r="CK31" s="82"/>
      <c r="CL31" s="79" t="s">
        <v>766</v>
      </c>
      <c r="CM31" s="89" t="s">
        <v>4</v>
      </c>
      <c r="CN31" s="120" t="s">
        <v>770</v>
      </c>
      <c r="CO31" s="90" t="s">
        <v>5</v>
      </c>
      <c r="CP31" s="91" t="s">
        <v>28</v>
      </c>
      <c r="CQ31" s="108" t="s">
        <v>32</v>
      </c>
      <c r="CR31" s="121" t="s">
        <v>761</v>
      </c>
      <c r="CS31" s="160"/>
      <c r="CT31" s="79" t="s">
        <v>766</v>
      </c>
      <c r="CU31" s="89" t="s">
        <v>4</v>
      </c>
      <c r="CV31" s="90" t="s">
        <v>794</v>
      </c>
      <c r="CW31" s="90" t="s">
        <v>795</v>
      </c>
      <c r="CX31" s="120" t="s">
        <v>32</v>
      </c>
    </row>
    <row r="32" spans="1:103" ht="26.25" customHeight="1">
      <c r="A32" s="122">
        <v>1</v>
      </c>
      <c r="B32" s="188"/>
      <c r="C32" s="188"/>
      <c r="D32" s="122">
        <v>1</v>
      </c>
      <c r="E32" s="122" t="s">
        <v>773</v>
      </c>
      <c r="F32" s="123" t="str">
        <f>INDEX(Table_Name[Name list],MATCH(E32,Table_Name[category],0))</f>
        <v>اكتاف_جانبي[التمرين]</v>
      </c>
      <c r="G32" s="124" t="s">
        <v>157</v>
      </c>
      <c r="H32" s="95" t="str">
        <f>INDEX(Links[الرابط],MATCH(G32,Links[التمرين],0))</f>
        <v>https://www.youtube.com/watch?v=SKf8wHlIFX0&amp;list=PLyqKj7LwU2RuNVJBl0CtfZdxQ99IhKCcu&amp;index=10</v>
      </c>
      <c r="I32" s="125" t="str">
        <f t="shared" ref="I32" si="112">HYPERLINK(H32,"Watch")</f>
        <v>Watch</v>
      </c>
      <c r="K32" s="80" t="str">
        <f t="shared" ref="K32:K37" si="113">G32</f>
        <v>Standing dumbbell lateral raises</v>
      </c>
      <c r="L32" s="97">
        <v>3</v>
      </c>
      <c r="M32" s="103" t="s">
        <v>812</v>
      </c>
      <c r="N32" s="100"/>
      <c r="O32" s="105"/>
      <c r="P32" s="109" t="s">
        <v>771</v>
      </c>
      <c r="Q32" s="94"/>
      <c r="R32" s="80" t="str">
        <f t="shared" ref="R32:R37" si="114">G32</f>
        <v>Standing dumbbell lateral raises</v>
      </c>
      <c r="S32" s="97">
        <v>4</v>
      </c>
      <c r="T32" s="102" t="str">
        <f t="shared" ref="T32" si="115">M32</f>
        <v>6-12</v>
      </c>
      <c r="U32" s="100"/>
      <c r="V32" s="105"/>
      <c r="W32" s="109" t="str">
        <f t="shared" ref="W32" si="116">P32</f>
        <v>60-120 ثانية</v>
      </c>
      <c r="X32" s="107"/>
      <c r="Z32" s="80" t="str">
        <f t="shared" ref="Z32:Z37" si="117">G32</f>
        <v>Standing dumbbell lateral raises</v>
      </c>
      <c r="AA32" s="97">
        <v>4</v>
      </c>
      <c r="AB32" s="102" t="str">
        <f t="shared" ref="AB32" si="118">M32</f>
        <v>6-12</v>
      </c>
      <c r="AC32" s="100"/>
      <c r="AD32" s="105"/>
      <c r="AE32" s="109" t="str">
        <f t="shared" ref="AE32" si="119">P32</f>
        <v>60-120 ثانية</v>
      </c>
      <c r="AF32" s="107"/>
      <c r="AH32" s="80" t="str">
        <f t="shared" ref="AH32:AH37" si="120">G32</f>
        <v>Standing dumbbell lateral raises</v>
      </c>
      <c r="AI32" s="97">
        <v>4</v>
      </c>
      <c r="AJ32" s="102" t="str">
        <f t="shared" ref="AJ32" si="121">M32</f>
        <v>6-12</v>
      </c>
      <c r="AK32" s="100"/>
      <c r="AL32" s="105"/>
      <c r="AM32" s="109" t="str">
        <f t="shared" ref="AM32" si="122">P32</f>
        <v>60-120 ثانية</v>
      </c>
      <c r="AN32" s="107"/>
      <c r="AP32" s="80" t="str">
        <f t="shared" ref="AP32:AP37" si="123">G32</f>
        <v>Standing dumbbell lateral raises</v>
      </c>
      <c r="AQ32" s="97">
        <v>4</v>
      </c>
      <c r="AR32" s="102" t="str">
        <f t="shared" ref="AR32" si="124">M32</f>
        <v>6-12</v>
      </c>
      <c r="AS32" s="100"/>
      <c r="AT32" s="105"/>
      <c r="AU32" s="109" t="str">
        <f t="shared" ref="AU32" si="125">P32</f>
        <v>60-120 ثانية</v>
      </c>
      <c r="AV32" s="107"/>
      <c r="AX32" s="80" t="str">
        <f t="shared" ref="AX32" si="126">G32</f>
        <v>Standing dumbbell lateral raises</v>
      </c>
      <c r="AY32" s="97">
        <v>4</v>
      </c>
      <c r="AZ32" s="102" t="str">
        <f t="shared" ref="AZ32" si="127">M32</f>
        <v>6-12</v>
      </c>
      <c r="BA32" s="100"/>
      <c r="BB32" s="105"/>
      <c r="BC32" s="149" t="str">
        <f t="shared" ref="BC32" si="128">P32</f>
        <v>60-120 ثانية</v>
      </c>
      <c r="BD32" s="107"/>
      <c r="BE32" s="138"/>
      <c r="BF32" s="80" t="str">
        <f>G32</f>
        <v>Standing dumbbell lateral raises</v>
      </c>
      <c r="BG32" s="97">
        <v>4</v>
      </c>
      <c r="BH32" s="102" t="str">
        <f>M32</f>
        <v>6-12</v>
      </c>
      <c r="BI32" s="161"/>
      <c r="BJ32" s="165"/>
      <c r="BK32" s="149" t="str">
        <f>P32</f>
        <v>60-120 ثانية</v>
      </c>
      <c r="BL32" s="107"/>
      <c r="BM32" s="82"/>
      <c r="BN32" s="80" t="str">
        <f>G32</f>
        <v>Standing dumbbell lateral raises</v>
      </c>
      <c r="BO32" s="97">
        <v>4</v>
      </c>
      <c r="BP32" s="102" t="str">
        <f>M32</f>
        <v>6-12</v>
      </c>
      <c r="BQ32" s="161"/>
      <c r="BR32" s="165"/>
      <c r="BS32" s="149" t="str">
        <f>P32</f>
        <v>60-120 ثانية</v>
      </c>
      <c r="BT32" s="107"/>
      <c r="BU32" s="82"/>
      <c r="BV32" s="80" t="str">
        <f>G32</f>
        <v>Standing dumbbell lateral raises</v>
      </c>
      <c r="BW32" s="97">
        <v>4</v>
      </c>
      <c r="BX32" s="102" t="str">
        <f>M32</f>
        <v>6-12</v>
      </c>
      <c r="BY32" s="161"/>
      <c r="BZ32" s="165"/>
      <c r="CA32" s="109">
        <f t="shared" ref="CA32" si="129">BD32</f>
        <v>0</v>
      </c>
      <c r="CB32" s="107"/>
      <c r="CC32" s="82"/>
      <c r="CD32" s="80" t="str">
        <f>G32</f>
        <v>Standing dumbbell lateral raises</v>
      </c>
      <c r="CE32" s="97">
        <v>4</v>
      </c>
      <c r="CF32" s="102" t="str">
        <f>M32</f>
        <v>6-12</v>
      </c>
      <c r="CG32" s="161"/>
      <c r="CH32" s="165"/>
      <c r="CI32" s="149" t="str">
        <f>P32</f>
        <v>60-120 ثانية</v>
      </c>
      <c r="CJ32" s="107"/>
      <c r="CK32" s="82"/>
      <c r="CL32" s="80" t="str">
        <f>G32</f>
        <v>Standing dumbbell lateral raises</v>
      </c>
      <c r="CM32" s="97">
        <v>4</v>
      </c>
      <c r="CN32" s="102" t="str">
        <f>M32</f>
        <v>6-12</v>
      </c>
      <c r="CO32" s="161"/>
      <c r="CP32" s="165"/>
      <c r="CQ32" s="149" t="str">
        <f>P32</f>
        <v>60-120 ثانية</v>
      </c>
      <c r="CR32" s="107"/>
      <c r="CS32" s="137"/>
      <c r="CT32" s="80" t="str">
        <f t="shared" ref="CT32:CT37" si="130">G32</f>
        <v>Standing dumbbell lateral raises</v>
      </c>
      <c r="CU32" s="166">
        <v>2</v>
      </c>
      <c r="CV32" s="167"/>
      <c r="CW32" s="168"/>
      <c r="CX32" s="254" t="s">
        <v>34</v>
      </c>
      <c r="CY32" s="138"/>
    </row>
    <row r="33" spans="1:136" ht="26.25" customHeight="1">
      <c r="A33" s="122">
        <v>2</v>
      </c>
      <c r="B33" s="188"/>
      <c r="C33" s="188"/>
      <c r="D33" s="122">
        <v>2</v>
      </c>
      <c r="E33" s="122" t="s">
        <v>24</v>
      </c>
      <c r="F33" s="123" t="str">
        <f>INDEX(Table_Name[Name list],MATCH(E33,Table_Name[category],0))</f>
        <v>مثلثات[التمرين]</v>
      </c>
      <c r="G33" s="124" t="s">
        <v>332</v>
      </c>
      <c r="H33" s="95" t="str">
        <f>INDEX(Links[الرابط],MATCH(G33,Links[التمرين],0))</f>
        <v>https://www.youtube.com/watch?v=cT5_GyOXIgE</v>
      </c>
      <c r="I33" s="125" t="str">
        <f t="shared" ref="I33" si="131">HYPERLINK(H33,"Watch")</f>
        <v>Watch</v>
      </c>
      <c r="K33" s="80" t="str">
        <f t="shared" ref="K33" si="132">G33</f>
        <v>Smith machine shrug</v>
      </c>
      <c r="L33" s="97">
        <v>3</v>
      </c>
      <c r="M33" s="103" t="s">
        <v>812</v>
      </c>
      <c r="N33" s="100"/>
      <c r="O33" s="105"/>
      <c r="P33" s="109" t="s">
        <v>771</v>
      </c>
      <c r="Q33" s="94"/>
      <c r="R33" s="80" t="str">
        <f t="shared" ref="R33" si="133">G33</f>
        <v>Smith machine shrug</v>
      </c>
      <c r="S33" s="97">
        <v>4</v>
      </c>
      <c r="T33" s="102" t="str">
        <f t="shared" ref="T33" si="134">M33</f>
        <v>6-12</v>
      </c>
      <c r="U33" s="100"/>
      <c r="V33" s="105"/>
      <c r="W33" s="109" t="str">
        <f t="shared" ref="W33" si="135">P33</f>
        <v>60-120 ثانية</v>
      </c>
      <c r="X33" s="107"/>
      <c r="Z33" s="80" t="str">
        <f t="shared" ref="Z33" si="136">G33</f>
        <v>Smith machine shrug</v>
      </c>
      <c r="AA33" s="97">
        <v>4</v>
      </c>
      <c r="AB33" s="102" t="str">
        <f t="shared" ref="AB33" si="137">M33</f>
        <v>6-12</v>
      </c>
      <c r="AC33" s="100"/>
      <c r="AD33" s="105"/>
      <c r="AE33" s="109" t="str">
        <f t="shared" ref="AE33" si="138">P33</f>
        <v>60-120 ثانية</v>
      </c>
      <c r="AF33" s="107"/>
      <c r="AH33" s="80" t="str">
        <f t="shared" ref="AH33" si="139">G33</f>
        <v>Smith machine shrug</v>
      </c>
      <c r="AI33" s="97">
        <v>4</v>
      </c>
      <c r="AJ33" s="102" t="str">
        <f t="shared" ref="AJ33" si="140">M33</f>
        <v>6-12</v>
      </c>
      <c r="AK33" s="100"/>
      <c r="AL33" s="105"/>
      <c r="AM33" s="109" t="str">
        <f t="shared" ref="AM33" si="141">P33</f>
        <v>60-120 ثانية</v>
      </c>
      <c r="AN33" s="107"/>
      <c r="AP33" s="80" t="str">
        <f t="shared" ref="AP33" si="142">G33</f>
        <v>Smith machine shrug</v>
      </c>
      <c r="AQ33" s="97">
        <v>4</v>
      </c>
      <c r="AR33" s="102" t="str">
        <f t="shared" ref="AR33" si="143">M33</f>
        <v>6-12</v>
      </c>
      <c r="AS33" s="100"/>
      <c r="AT33" s="105"/>
      <c r="AU33" s="109" t="str">
        <f t="shared" ref="AU33" si="144">P33</f>
        <v>60-120 ثانية</v>
      </c>
      <c r="AV33" s="107"/>
      <c r="AX33" s="80" t="str">
        <f t="shared" ref="AX33" si="145">G33</f>
        <v>Smith machine shrug</v>
      </c>
      <c r="AY33" s="97">
        <v>4</v>
      </c>
      <c r="AZ33" s="102" t="str">
        <f t="shared" ref="AZ33" si="146">M33</f>
        <v>6-12</v>
      </c>
      <c r="BA33" s="100"/>
      <c r="BB33" s="105"/>
      <c r="BC33" s="149" t="str">
        <f t="shared" ref="BC33" si="147">P33</f>
        <v>60-120 ثانية</v>
      </c>
      <c r="BD33" s="107"/>
      <c r="BE33" s="138"/>
      <c r="BF33" s="80" t="str">
        <f>G33</f>
        <v>Smith machine shrug</v>
      </c>
      <c r="BG33" s="97">
        <v>4</v>
      </c>
      <c r="BH33" s="102" t="str">
        <f>M33</f>
        <v>6-12</v>
      </c>
      <c r="BI33" s="161"/>
      <c r="BJ33" s="165"/>
      <c r="BK33" s="149" t="str">
        <f>P33</f>
        <v>60-120 ثانية</v>
      </c>
      <c r="BL33" s="107"/>
      <c r="BM33" s="82"/>
      <c r="BN33" s="80" t="str">
        <f>G33</f>
        <v>Smith machine shrug</v>
      </c>
      <c r="BO33" s="97">
        <v>4</v>
      </c>
      <c r="BP33" s="102" t="str">
        <f>M33</f>
        <v>6-12</v>
      </c>
      <c r="BQ33" s="161"/>
      <c r="BR33" s="165"/>
      <c r="BS33" s="149" t="str">
        <f>P33</f>
        <v>60-120 ثانية</v>
      </c>
      <c r="BT33" s="107"/>
      <c r="BU33" s="82"/>
      <c r="BV33" s="80" t="str">
        <f>G33</f>
        <v>Smith machine shrug</v>
      </c>
      <c r="BW33" s="97">
        <v>4</v>
      </c>
      <c r="BX33" s="102" t="str">
        <f>M33</f>
        <v>6-12</v>
      </c>
      <c r="BY33" s="161"/>
      <c r="BZ33" s="165"/>
      <c r="CA33" s="109">
        <f t="shared" ref="CA33" si="148">BD33</f>
        <v>0</v>
      </c>
      <c r="CB33" s="107"/>
      <c r="CC33" s="82"/>
      <c r="CD33" s="80" t="str">
        <f>G33</f>
        <v>Smith machine shrug</v>
      </c>
      <c r="CE33" s="97">
        <v>4</v>
      </c>
      <c r="CF33" s="102" t="str">
        <f>M33</f>
        <v>6-12</v>
      </c>
      <c r="CG33" s="161"/>
      <c r="CH33" s="165"/>
      <c r="CI33" s="149" t="str">
        <f>P33</f>
        <v>60-120 ثانية</v>
      </c>
      <c r="CJ33" s="107"/>
      <c r="CK33" s="82"/>
      <c r="CL33" s="80" t="str">
        <f>G33</f>
        <v>Smith machine shrug</v>
      </c>
      <c r="CM33" s="97">
        <v>4</v>
      </c>
      <c r="CN33" s="102" t="str">
        <f>M33</f>
        <v>6-12</v>
      </c>
      <c r="CO33" s="161"/>
      <c r="CP33" s="165"/>
      <c r="CQ33" s="149" t="str">
        <f>P33</f>
        <v>60-120 ثانية</v>
      </c>
      <c r="CR33" s="107"/>
      <c r="CS33" s="137"/>
      <c r="CT33" s="80" t="str">
        <f t="shared" ref="CT33" si="149">G33</f>
        <v>Smith machine shrug</v>
      </c>
      <c r="CU33" s="166">
        <v>2</v>
      </c>
      <c r="CV33" s="167"/>
      <c r="CW33" s="168"/>
      <c r="CX33" s="254"/>
      <c r="CY33" s="138"/>
    </row>
    <row r="34" spans="1:136" ht="26.25" customHeight="1">
      <c r="A34" s="122">
        <v>3</v>
      </c>
      <c r="B34" s="244"/>
      <c r="C34" s="245"/>
      <c r="D34" s="122">
        <v>3</v>
      </c>
      <c r="E34" s="122" t="s">
        <v>381</v>
      </c>
      <c r="F34" s="123" t="str">
        <f>INDEX(Table_Name[Name list],MATCH(E34,Table_Name[category],0))</f>
        <v>رجلين_أمامي[التمرين]</v>
      </c>
      <c r="G34" s="124" t="s">
        <v>19</v>
      </c>
      <c r="H34" s="95" t="str">
        <f>INDEX(Links[الرابط],MATCH(G34,Links[التمرين],0))</f>
        <v>https://www.youtube.com/watch?v=m0FOpMEgero&amp;list=PLyqKj7LwU2RuAg-us4mzap6izNcc1fuRW&amp;index=6</v>
      </c>
      <c r="I34" s="125" t="str">
        <f>HYPERLINK(H34,"Watch")</f>
        <v>Watch</v>
      </c>
      <c r="K34" s="80" t="str">
        <f t="shared" si="113"/>
        <v>Leg extensions</v>
      </c>
      <c r="L34" s="83">
        <v>3</v>
      </c>
      <c r="M34" s="103" t="s">
        <v>812</v>
      </c>
      <c r="N34" s="73"/>
      <c r="O34" s="76"/>
      <c r="P34" s="109" t="s">
        <v>771</v>
      </c>
      <c r="Q34" s="94"/>
      <c r="R34" s="80" t="str">
        <f t="shared" si="114"/>
        <v>Leg extensions</v>
      </c>
      <c r="S34" s="83">
        <v>3</v>
      </c>
      <c r="T34" s="102" t="str">
        <f>M34</f>
        <v>6-12</v>
      </c>
      <c r="U34" s="73"/>
      <c r="V34" s="76"/>
      <c r="W34" s="109" t="str">
        <f>P34</f>
        <v>60-120 ثانية</v>
      </c>
      <c r="X34" s="107"/>
      <c r="Z34" s="80" t="str">
        <f t="shared" si="117"/>
        <v>Leg extensions</v>
      </c>
      <c r="AA34" s="83">
        <v>4</v>
      </c>
      <c r="AB34" s="102" t="str">
        <f>M34</f>
        <v>6-12</v>
      </c>
      <c r="AC34" s="73"/>
      <c r="AD34" s="76"/>
      <c r="AE34" s="109" t="str">
        <f>P34</f>
        <v>60-120 ثانية</v>
      </c>
      <c r="AF34" s="107"/>
      <c r="AH34" s="80" t="str">
        <f t="shared" si="120"/>
        <v>Leg extensions</v>
      </c>
      <c r="AI34" s="83">
        <v>4</v>
      </c>
      <c r="AJ34" s="102" t="str">
        <f>M34</f>
        <v>6-12</v>
      </c>
      <c r="AK34" s="73"/>
      <c r="AL34" s="76"/>
      <c r="AM34" s="109" t="str">
        <f>P34</f>
        <v>60-120 ثانية</v>
      </c>
      <c r="AN34" s="107"/>
      <c r="AP34" s="80" t="str">
        <f t="shared" si="123"/>
        <v>Leg extensions</v>
      </c>
      <c r="AQ34" s="83">
        <v>4</v>
      </c>
      <c r="AR34" s="102" t="str">
        <f>M34</f>
        <v>6-12</v>
      </c>
      <c r="AS34" s="73"/>
      <c r="AT34" s="76"/>
      <c r="AU34" s="109" t="str">
        <f>P34</f>
        <v>60-120 ثانية</v>
      </c>
      <c r="AV34" s="107"/>
      <c r="AX34" s="80" t="str">
        <f>G34</f>
        <v>Leg extensions</v>
      </c>
      <c r="AY34" s="83">
        <v>4</v>
      </c>
      <c r="AZ34" s="102" t="str">
        <f>M34</f>
        <v>6-12</v>
      </c>
      <c r="BA34" s="73"/>
      <c r="BB34" s="76"/>
      <c r="BC34" s="149" t="str">
        <f>P34</f>
        <v>60-120 ثانية</v>
      </c>
      <c r="BD34" s="107"/>
      <c r="BE34" s="138"/>
      <c r="BF34" s="80" t="str">
        <f t="shared" ref="BF34:BF37" si="150">G34</f>
        <v>Leg extensions</v>
      </c>
      <c r="BG34" s="83">
        <v>4</v>
      </c>
      <c r="BH34" s="102" t="str">
        <f t="shared" ref="BH34:BH37" si="151">M34</f>
        <v>6-12</v>
      </c>
      <c r="BI34" s="169"/>
      <c r="BJ34" s="164"/>
      <c r="BK34" s="149" t="str">
        <f t="shared" ref="BK34:BK37" si="152">P34</f>
        <v>60-120 ثانية</v>
      </c>
      <c r="BL34" s="107"/>
      <c r="BM34" s="82"/>
      <c r="BN34" s="80" t="str">
        <f t="shared" ref="BN34:BN37" si="153">G34</f>
        <v>Leg extensions</v>
      </c>
      <c r="BO34" s="83">
        <v>4</v>
      </c>
      <c r="BP34" s="102" t="str">
        <f t="shared" ref="BP34:BP37" si="154">M34</f>
        <v>6-12</v>
      </c>
      <c r="BQ34" s="169"/>
      <c r="BR34" s="164"/>
      <c r="BS34" s="149" t="str">
        <f t="shared" ref="BS34:BS37" si="155">P34</f>
        <v>60-120 ثانية</v>
      </c>
      <c r="BT34" s="107"/>
      <c r="BU34" s="82"/>
      <c r="BV34" s="80" t="str">
        <f t="shared" ref="BV34:BV37" si="156">G34</f>
        <v>Leg extensions</v>
      </c>
      <c r="BW34" s="83">
        <v>4</v>
      </c>
      <c r="BX34" s="102" t="str">
        <f t="shared" ref="BX34:BX37" si="157">M34</f>
        <v>6-12</v>
      </c>
      <c r="BY34" s="169"/>
      <c r="BZ34" s="164"/>
      <c r="CA34" s="109">
        <f>BD34</f>
        <v>0</v>
      </c>
      <c r="CB34" s="107"/>
      <c r="CC34" s="82"/>
      <c r="CD34" s="80" t="str">
        <f t="shared" ref="CD34:CD37" si="158">G34</f>
        <v>Leg extensions</v>
      </c>
      <c r="CE34" s="83">
        <v>4</v>
      </c>
      <c r="CF34" s="102" t="str">
        <f t="shared" ref="CF34:CF37" si="159">M34</f>
        <v>6-12</v>
      </c>
      <c r="CG34" s="169"/>
      <c r="CH34" s="164"/>
      <c r="CI34" s="149" t="str">
        <f t="shared" ref="CI34:CI37" si="160">P34</f>
        <v>60-120 ثانية</v>
      </c>
      <c r="CJ34" s="107"/>
      <c r="CK34" s="82"/>
      <c r="CL34" s="80" t="str">
        <f t="shared" ref="CL34:CL37" si="161">G34</f>
        <v>Leg extensions</v>
      </c>
      <c r="CM34" s="83">
        <v>4</v>
      </c>
      <c r="CN34" s="102" t="str">
        <f t="shared" ref="CN34:CN37" si="162">M34</f>
        <v>6-12</v>
      </c>
      <c r="CO34" s="169"/>
      <c r="CP34" s="164"/>
      <c r="CQ34" s="149" t="str">
        <f t="shared" ref="CQ34:CQ37" si="163">P34</f>
        <v>60-120 ثانية</v>
      </c>
      <c r="CR34" s="107"/>
      <c r="CS34" s="137"/>
      <c r="CT34" s="80" t="str">
        <f t="shared" si="130"/>
        <v>Leg extensions</v>
      </c>
      <c r="CU34" s="95">
        <v>2</v>
      </c>
      <c r="CV34" s="163"/>
      <c r="CW34" s="164"/>
      <c r="CX34" s="254"/>
      <c r="CY34" s="138"/>
    </row>
    <row r="35" spans="1:136" ht="26.25" customHeight="1">
      <c r="A35" s="122">
        <v>4</v>
      </c>
      <c r="B35" s="188"/>
      <c r="C35" s="188"/>
      <c r="D35" s="122">
        <v>4</v>
      </c>
      <c r="E35" s="122" t="s">
        <v>68</v>
      </c>
      <c r="F35" s="123" t="str">
        <f>INDEX(Table_Name[Name list],MATCH(E35,Table_Name[category],0))</f>
        <v>رجلين_سكوات[التمرين]</v>
      </c>
      <c r="G35" s="124" t="s">
        <v>383</v>
      </c>
      <c r="H35" s="95" t="str">
        <f>INDEX(Links[الرابط],MATCH(G35,Links[التمرين],0))</f>
        <v>https://www.youtube.com/watch?v=rYgNArpwE7E&amp;list=PLyqKj7LwU2RuAg-us4mzap6izNcc1fuRW&amp;index=4</v>
      </c>
      <c r="I35" s="125" t="str">
        <f t="shared" ref="I35:I37" si="164">HYPERLINK(H35,"Watch")</f>
        <v>Watch</v>
      </c>
      <c r="K35" s="80" t="str">
        <f t="shared" si="113"/>
        <v>Hack squat</v>
      </c>
      <c r="L35" s="83">
        <v>3</v>
      </c>
      <c r="M35" s="103" t="s">
        <v>812</v>
      </c>
      <c r="N35" s="74"/>
      <c r="O35" s="77"/>
      <c r="P35" s="109" t="s">
        <v>771</v>
      </c>
      <c r="Q35" s="94"/>
      <c r="R35" s="80" t="str">
        <f t="shared" si="114"/>
        <v>Hack squat</v>
      </c>
      <c r="S35" s="83">
        <v>3</v>
      </c>
      <c r="T35" s="102" t="str">
        <f t="shared" ref="T35:T37" si="165">M35</f>
        <v>6-12</v>
      </c>
      <c r="U35" s="74"/>
      <c r="V35" s="77"/>
      <c r="W35" s="109" t="str">
        <f>P35</f>
        <v>60-120 ثانية</v>
      </c>
      <c r="X35" s="107"/>
      <c r="Z35" s="80" t="str">
        <f t="shared" si="117"/>
        <v>Hack squat</v>
      </c>
      <c r="AA35" s="83">
        <v>3</v>
      </c>
      <c r="AB35" s="102" t="str">
        <f t="shared" ref="AB35:AB37" si="166">M35</f>
        <v>6-12</v>
      </c>
      <c r="AC35" s="74"/>
      <c r="AD35" s="77"/>
      <c r="AE35" s="109" t="str">
        <f t="shared" ref="AE35:AE37" si="167">P35</f>
        <v>60-120 ثانية</v>
      </c>
      <c r="AF35" s="107"/>
      <c r="AH35" s="80" t="str">
        <f t="shared" si="120"/>
        <v>Hack squat</v>
      </c>
      <c r="AI35" s="83">
        <v>3</v>
      </c>
      <c r="AJ35" s="102" t="str">
        <f t="shared" ref="AJ35:AJ37" si="168">M35</f>
        <v>6-12</v>
      </c>
      <c r="AK35" s="74"/>
      <c r="AL35" s="77"/>
      <c r="AM35" s="109" t="str">
        <f t="shared" ref="AM35:AM37" si="169">P35</f>
        <v>60-120 ثانية</v>
      </c>
      <c r="AN35" s="107"/>
      <c r="AP35" s="80" t="str">
        <f t="shared" si="123"/>
        <v>Hack squat</v>
      </c>
      <c r="AQ35" s="83">
        <v>4</v>
      </c>
      <c r="AR35" s="102" t="str">
        <f t="shared" ref="AR35:AR37" si="170">M35</f>
        <v>6-12</v>
      </c>
      <c r="AS35" s="74"/>
      <c r="AT35" s="77"/>
      <c r="AU35" s="109" t="str">
        <f t="shared" ref="AU35:AU37" si="171">P35</f>
        <v>60-120 ثانية</v>
      </c>
      <c r="AV35" s="107"/>
      <c r="AX35" s="80" t="str">
        <f t="shared" ref="AX35:AX37" si="172">G35</f>
        <v>Hack squat</v>
      </c>
      <c r="AY35" s="83">
        <v>4</v>
      </c>
      <c r="AZ35" s="102" t="str">
        <f t="shared" ref="AZ35:AZ37" si="173">M35</f>
        <v>6-12</v>
      </c>
      <c r="BA35" s="74"/>
      <c r="BB35" s="77"/>
      <c r="BC35" s="149" t="str">
        <f t="shared" ref="BC35:BC37" si="174">P35</f>
        <v>60-120 ثانية</v>
      </c>
      <c r="BD35" s="107"/>
      <c r="BE35" s="138"/>
      <c r="BF35" s="80" t="str">
        <f t="shared" si="150"/>
        <v>Hack squat</v>
      </c>
      <c r="BG35" s="83">
        <v>4</v>
      </c>
      <c r="BH35" s="102" t="str">
        <f t="shared" si="151"/>
        <v>6-12</v>
      </c>
      <c r="BI35" s="167"/>
      <c r="BJ35" s="168"/>
      <c r="BK35" s="149" t="str">
        <f t="shared" si="152"/>
        <v>60-120 ثانية</v>
      </c>
      <c r="BL35" s="107"/>
      <c r="BM35" s="82"/>
      <c r="BN35" s="80" t="str">
        <f t="shared" si="153"/>
        <v>Hack squat</v>
      </c>
      <c r="BO35" s="83">
        <v>4</v>
      </c>
      <c r="BP35" s="102" t="str">
        <f t="shared" si="154"/>
        <v>6-12</v>
      </c>
      <c r="BQ35" s="167"/>
      <c r="BR35" s="168"/>
      <c r="BS35" s="149" t="str">
        <f t="shared" si="155"/>
        <v>60-120 ثانية</v>
      </c>
      <c r="BT35" s="107"/>
      <c r="BU35" s="82"/>
      <c r="BV35" s="80" t="str">
        <f t="shared" si="156"/>
        <v>Hack squat</v>
      </c>
      <c r="BW35" s="83">
        <v>4</v>
      </c>
      <c r="BX35" s="102" t="str">
        <f t="shared" si="157"/>
        <v>6-12</v>
      </c>
      <c r="BY35" s="167"/>
      <c r="BZ35" s="168"/>
      <c r="CA35" s="109">
        <f t="shared" ref="CA35:CA37" si="175">BD35</f>
        <v>0</v>
      </c>
      <c r="CB35" s="107"/>
      <c r="CC35" s="82"/>
      <c r="CD35" s="80" t="str">
        <f t="shared" si="158"/>
        <v>Hack squat</v>
      </c>
      <c r="CE35" s="83">
        <v>4</v>
      </c>
      <c r="CF35" s="102" t="str">
        <f t="shared" si="159"/>
        <v>6-12</v>
      </c>
      <c r="CG35" s="167"/>
      <c r="CH35" s="168"/>
      <c r="CI35" s="149" t="str">
        <f t="shared" si="160"/>
        <v>60-120 ثانية</v>
      </c>
      <c r="CJ35" s="107"/>
      <c r="CK35" s="82"/>
      <c r="CL35" s="80" t="str">
        <f t="shared" si="161"/>
        <v>Hack squat</v>
      </c>
      <c r="CM35" s="83">
        <v>4</v>
      </c>
      <c r="CN35" s="102" t="str">
        <f t="shared" si="162"/>
        <v>6-12</v>
      </c>
      <c r="CO35" s="167"/>
      <c r="CP35" s="168"/>
      <c r="CQ35" s="149" t="str">
        <f t="shared" si="163"/>
        <v>60-120 ثانية</v>
      </c>
      <c r="CR35" s="107"/>
      <c r="CS35" s="137"/>
      <c r="CT35" s="80" t="str">
        <f t="shared" si="130"/>
        <v>Hack squat</v>
      </c>
      <c r="CU35" s="166">
        <v>2</v>
      </c>
      <c r="CV35" s="167"/>
      <c r="CW35" s="168"/>
      <c r="CX35" s="254"/>
      <c r="CY35" s="138"/>
    </row>
    <row r="36" spans="1:136" ht="26.25" customHeight="1">
      <c r="A36" s="122">
        <v>5</v>
      </c>
      <c r="B36" s="188"/>
      <c r="C36" s="188"/>
      <c r="D36" s="122">
        <v>5</v>
      </c>
      <c r="E36" s="122" t="s">
        <v>83</v>
      </c>
      <c r="F36" s="123" t="str">
        <f>INDEX(Table_Name[Name list],MATCH(E36,Table_Name[category],0))</f>
        <v>رجلين_خلفي_عزل[التمرين]</v>
      </c>
      <c r="G36" s="124" t="s">
        <v>38</v>
      </c>
      <c r="H36" s="95" t="str">
        <f>INDEX(Links[الرابط],MATCH(G36,Links[التمرين],0))</f>
        <v>https://www.youtube.com/watch?v=Orxowest56U&amp;list=PLyqKj7LwU2Rvx_O313dzJNFKPiEqRMWiV&amp;index=7</v>
      </c>
      <c r="I36" s="125" t="str">
        <f t="shared" si="164"/>
        <v>Watch</v>
      </c>
      <c r="K36" s="80" t="str">
        <f t="shared" si="113"/>
        <v>Seated leg curl</v>
      </c>
      <c r="L36" s="83">
        <v>3</v>
      </c>
      <c r="M36" s="103" t="s">
        <v>812</v>
      </c>
      <c r="N36" s="74"/>
      <c r="O36" s="77"/>
      <c r="P36" s="109" t="s">
        <v>771</v>
      </c>
      <c r="Q36" s="94"/>
      <c r="R36" s="80" t="str">
        <f t="shared" si="114"/>
        <v>Seated leg curl</v>
      </c>
      <c r="S36" s="83">
        <v>3</v>
      </c>
      <c r="T36" s="102" t="str">
        <f t="shared" si="165"/>
        <v>6-12</v>
      </c>
      <c r="U36" s="74"/>
      <c r="V36" s="77"/>
      <c r="W36" s="109" t="str">
        <f t="shared" ref="W36:W37" si="176">P36</f>
        <v>60-120 ثانية</v>
      </c>
      <c r="X36" s="107"/>
      <c r="Z36" s="80" t="str">
        <f t="shared" si="117"/>
        <v>Seated leg curl</v>
      </c>
      <c r="AA36" s="83">
        <v>3</v>
      </c>
      <c r="AB36" s="102" t="str">
        <f t="shared" si="166"/>
        <v>6-12</v>
      </c>
      <c r="AC36" s="74"/>
      <c r="AD36" s="77"/>
      <c r="AE36" s="109" t="str">
        <f t="shared" si="167"/>
        <v>60-120 ثانية</v>
      </c>
      <c r="AF36" s="107"/>
      <c r="AH36" s="80" t="str">
        <f t="shared" si="120"/>
        <v>Seated leg curl</v>
      </c>
      <c r="AI36" s="83">
        <v>3</v>
      </c>
      <c r="AJ36" s="102" t="str">
        <f t="shared" si="168"/>
        <v>6-12</v>
      </c>
      <c r="AK36" s="74"/>
      <c r="AL36" s="77"/>
      <c r="AM36" s="109" t="str">
        <f t="shared" si="169"/>
        <v>60-120 ثانية</v>
      </c>
      <c r="AN36" s="107"/>
      <c r="AP36" s="80" t="str">
        <f t="shared" si="123"/>
        <v>Seated leg curl</v>
      </c>
      <c r="AQ36" s="83">
        <v>3</v>
      </c>
      <c r="AR36" s="102" t="str">
        <f t="shared" si="170"/>
        <v>6-12</v>
      </c>
      <c r="AS36" s="74"/>
      <c r="AT36" s="77"/>
      <c r="AU36" s="109" t="str">
        <f t="shared" si="171"/>
        <v>60-120 ثانية</v>
      </c>
      <c r="AV36" s="107"/>
      <c r="AX36" s="80" t="str">
        <f t="shared" si="172"/>
        <v>Seated leg curl</v>
      </c>
      <c r="AY36" s="83">
        <v>3</v>
      </c>
      <c r="AZ36" s="102" t="str">
        <f t="shared" si="173"/>
        <v>6-12</v>
      </c>
      <c r="BA36" s="74"/>
      <c r="BB36" s="77"/>
      <c r="BC36" s="149" t="str">
        <f t="shared" si="174"/>
        <v>60-120 ثانية</v>
      </c>
      <c r="BD36" s="107"/>
      <c r="BE36" s="138"/>
      <c r="BF36" s="80" t="str">
        <f t="shared" si="150"/>
        <v>Seated leg curl</v>
      </c>
      <c r="BG36" s="83">
        <v>3</v>
      </c>
      <c r="BH36" s="102" t="str">
        <f t="shared" si="151"/>
        <v>6-12</v>
      </c>
      <c r="BI36" s="167"/>
      <c r="BJ36" s="168"/>
      <c r="BK36" s="149" t="str">
        <f t="shared" si="152"/>
        <v>60-120 ثانية</v>
      </c>
      <c r="BL36" s="107"/>
      <c r="BM36" s="82"/>
      <c r="BN36" s="80" t="str">
        <f t="shared" si="153"/>
        <v>Seated leg curl</v>
      </c>
      <c r="BO36" s="83">
        <v>3</v>
      </c>
      <c r="BP36" s="102" t="str">
        <f t="shared" si="154"/>
        <v>6-12</v>
      </c>
      <c r="BQ36" s="167"/>
      <c r="BR36" s="168"/>
      <c r="BS36" s="149" t="str">
        <f t="shared" si="155"/>
        <v>60-120 ثانية</v>
      </c>
      <c r="BT36" s="107"/>
      <c r="BU36" s="82"/>
      <c r="BV36" s="80" t="str">
        <f t="shared" si="156"/>
        <v>Seated leg curl</v>
      </c>
      <c r="BW36" s="83">
        <v>3</v>
      </c>
      <c r="BX36" s="102" t="str">
        <f t="shared" si="157"/>
        <v>6-12</v>
      </c>
      <c r="BY36" s="167"/>
      <c r="BZ36" s="168"/>
      <c r="CA36" s="109">
        <f t="shared" si="175"/>
        <v>0</v>
      </c>
      <c r="CB36" s="107"/>
      <c r="CC36" s="82"/>
      <c r="CD36" s="80" t="str">
        <f t="shared" si="158"/>
        <v>Seated leg curl</v>
      </c>
      <c r="CE36" s="83">
        <v>3</v>
      </c>
      <c r="CF36" s="102" t="str">
        <f t="shared" si="159"/>
        <v>6-12</v>
      </c>
      <c r="CG36" s="167"/>
      <c r="CH36" s="168"/>
      <c r="CI36" s="149" t="str">
        <f t="shared" si="160"/>
        <v>60-120 ثانية</v>
      </c>
      <c r="CJ36" s="107"/>
      <c r="CK36" s="82"/>
      <c r="CL36" s="80" t="str">
        <f t="shared" si="161"/>
        <v>Seated leg curl</v>
      </c>
      <c r="CM36" s="83">
        <v>3</v>
      </c>
      <c r="CN36" s="102" t="str">
        <f t="shared" si="162"/>
        <v>6-12</v>
      </c>
      <c r="CO36" s="167"/>
      <c r="CP36" s="168"/>
      <c r="CQ36" s="149" t="str">
        <f t="shared" si="163"/>
        <v>60-120 ثانية</v>
      </c>
      <c r="CR36" s="107"/>
      <c r="CS36" s="137"/>
      <c r="CT36" s="80" t="str">
        <f t="shared" si="130"/>
        <v>Seated leg curl</v>
      </c>
      <c r="CU36" s="166">
        <v>2</v>
      </c>
      <c r="CV36" s="167"/>
      <c r="CW36" s="168"/>
      <c r="CX36" s="254"/>
      <c r="CY36" s="138"/>
    </row>
    <row r="37" spans="1:136" ht="26.25" customHeight="1">
      <c r="A37" s="122">
        <v>6</v>
      </c>
      <c r="B37" s="188"/>
      <c r="C37" s="188"/>
      <c r="D37" s="122">
        <v>6</v>
      </c>
      <c r="E37" s="122" t="s">
        <v>15</v>
      </c>
      <c r="F37" s="123" t="str">
        <f>INDEX(Table_Name[Name list],MATCH(E37,Table_Name[category],0))</f>
        <v>البطات[التمرين]</v>
      </c>
      <c r="G37" s="124" t="s">
        <v>119</v>
      </c>
      <c r="H37" s="95" t="str">
        <f>INDEX(Links[الرابط],MATCH(G37,Links[التمرين],0))</f>
        <v>https://www.youtube.com/watch?v=N3awlEyTY98&amp;list=PLyqKj7LwU2RtQyn5wWMJbD0rCV-cSkiK3&amp;index=1</v>
      </c>
      <c r="I37" s="125" t="str">
        <f t="shared" si="164"/>
        <v>Watch</v>
      </c>
      <c r="K37" s="80" t="str">
        <f t="shared" si="113"/>
        <v>Calve on machine standing</v>
      </c>
      <c r="L37" s="83">
        <v>3</v>
      </c>
      <c r="M37" s="84" t="s">
        <v>812</v>
      </c>
      <c r="N37" s="75"/>
      <c r="O37" s="78"/>
      <c r="P37" s="109" t="s">
        <v>771</v>
      </c>
      <c r="Q37" s="94"/>
      <c r="R37" s="80" t="str">
        <f t="shared" si="114"/>
        <v>Calve on machine standing</v>
      </c>
      <c r="S37" s="83">
        <v>4</v>
      </c>
      <c r="T37" s="102" t="str">
        <f t="shared" si="165"/>
        <v>6-12</v>
      </c>
      <c r="U37" s="75"/>
      <c r="V37" s="78"/>
      <c r="W37" s="109" t="str">
        <f t="shared" si="176"/>
        <v>60-120 ثانية</v>
      </c>
      <c r="X37" s="107"/>
      <c r="Z37" s="80" t="str">
        <f t="shared" si="117"/>
        <v>Calve on machine standing</v>
      </c>
      <c r="AA37" s="83">
        <v>4</v>
      </c>
      <c r="AB37" s="102" t="str">
        <f t="shared" si="166"/>
        <v>6-12</v>
      </c>
      <c r="AC37" s="75"/>
      <c r="AD37" s="78"/>
      <c r="AE37" s="109" t="str">
        <f t="shared" si="167"/>
        <v>60-120 ثانية</v>
      </c>
      <c r="AF37" s="107"/>
      <c r="AH37" s="80" t="str">
        <f t="shared" si="120"/>
        <v>Calve on machine standing</v>
      </c>
      <c r="AI37" s="83">
        <v>4</v>
      </c>
      <c r="AJ37" s="102" t="str">
        <f t="shared" si="168"/>
        <v>6-12</v>
      </c>
      <c r="AK37" s="75"/>
      <c r="AL37" s="78"/>
      <c r="AM37" s="109" t="str">
        <f t="shared" si="169"/>
        <v>60-120 ثانية</v>
      </c>
      <c r="AN37" s="107"/>
      <c r="AP37" s="80" t="str">
        <f t="shared" si="123"/>
        <v>Calve on machine standing</v>
      </c>
      <c r="AQ37" s="83">
        <v>4</v>
      </c>
      <c r="AR37" s="102" t="str">
        <f t="shared" si="170"/>
        <v>6-12</v>
      </c>
      <c r="AS37" s="75"/>
      <c r="AT37" s="78"/>
      <c r="AU37" s="109" t="str">
        <f t="shared" si="171"/>
        <v>60-120 ثانية</v>
      </c>
      <c r="AV37" s="107"/>
      <c r="AX37" s="80" t="str">
        <f t="shared" si="172"/>
        <v>Calve on machine standing</v>
      </c>
      <c r="AY37" s="83">
        <v>4</v>
      </c>
      <c r="AZ37" s="102" t="str">
        <f t="shared" si="173"/>
        <v>6-12</v>
      </c>
      <c r="BA37" s="75"/>
      <c r="BB37" s="78"/>
      <c r="BC37" s="149" t="str">
        <f t="shared" si="174"/>
        <v>60-120 ثانية</v>
      </c>
      <c r="BD37" s="107"/>
      <c r="BE37" s="138"/>
      <c r="BF37" s="80" t="str">
        <f t="shared" si="150"/>
        <v>Calve on machine standing</v>
      </c>
      <c r="BG37" s="83">
        <v>4</v>
      </c>
      <c r="BH37" s="102" t="str">
        <f t="shared" si="151"/>
        <v>6-12</v>
      </c>
      <c r="BI37" s="167"/>
      <c r="BJ37" s="168"/>
      <c r="BK37" s="149" t="str">
        <f t="shared" si="152"/>
        <v>60-120 ثانية</v>
      </c>
      <c r="BL37" s="107"/>
      <c r="BM37" s="82"/>
      <c r="BN37" s="80" t="str">
        <f t="shared" si="153"/>
        <v>Calve on machine standing</v>
      </c>
      <c r="BO37" s="83">
        <v>4</v>
      </c>
      <c r="BP37" s="102" t="str">
        <f t="shared" si="154"/>
        <v>6-12</v>
      </c>
      <c r="BQ37" s="167"/>
      <c r="BR37" s="168"/>
      <c r="BS37" s="149" t="str">
        <f t="shared" si="155"/>
        <v>60-120 ثانية</v>
      </c>
      <c r="BT37" s="107"/>
      <c r="BU37" s="82"/>
      <c r="BV37" s="80" t="str">
        <f t="shared" si="156"/>
        <v>Calve on machine standing</v>
      </c>
      <c r="BW37" s="83">
        <v>4</v>
      </c>
      <c r="BX37" s="102" t="str">
        <f t="shared" si="157"/>
        <v>6-12</v>
      </c>
      <c r="BY37" s="167"/>
      <c r="BZ37" s="168"/>
      <c r="CA37" s="109">
        <f t="shared" si="175"/>
        <v>0</v>
      </c>
      <c r="CB37" s="107"/>
      <c r="CC37" s="82"/>
      <c r="CD37" s="80" t="str">
        <f t="shared" si="158"/>
        <v>Calve on machine standing</v>
      </c>
      <c r="CE37" s="83">
        <v>4</v>
      </c>
      <c r="CF37" s="102" t="str">
        <f t="shared" si="159"/>
        <v>6-12</v>
      </c>
      <c r="CG37" s="167"/>
      <c r="CH37" s="168"/>
      <c r="CI37" s="149" t="str">
        <f t="shared" si="160"/>
        <v>60-120 ثانية</v>
      </c>
      <c r="CJ37" s="107"/>
      <c r="CK37" s="82"/>
      <c r="CL37" s="80" t="str">
        <f t="shared" si="161"/>
        <v>Calve on machine standing</v>
      </c>
      <c r="CM37" s="83">
        <v>4</v>
      </c>
      <c r="CN37" s="102" t="str">
        <f t="shared" si="162"/>
        <v>6-12</v>
      </c>
      <c r="CO37" s="167"/>
      <c r="CP37" s="168"/>
      <c r="CQ37" s="149" t="str">
        <f t="shared" si="163"/>
        <v>60-120 ثانية</v>
      </c>
      <c r="CR37" s="107"/>
      <c r="CS37" s="137"/>
      <c r="CT37" s="80" t="str">
        <f t="shared" si="130"/>
        <v>Calve on machine standing</v>
      </c>
      <c r="CU37" s="166">
        <v>2</v>
      </c>
      <c r="CV37" s="167"/>
      <c r="CW37" s="168"/>
      <c r="CX37" s="254"/>
      <c r="CY37" s="138"/>
    </row>
    <row r="38" spans="1:136" ht="25.5" customHeight="1">
      <c r="D38" s="81"/>
      <c r="E38" s="81"/>
      <c r="F38" s="81"/>
      <c r="G38" s="130"/>
      <c r="H38" s="81"/>
      <c r="I38" s="131"/>
      <c r="L38" s="81"/>
      <c r="M38" s="92"/>
      <c r="N38" s="92"/>
      <c r="O38" s="93"/>
      <c r="P38" s="94"/>
      <c r="Q38" s="94"/>
      <c r="R38" s="94"/>
      <c r="S38" s="81"/>
      <c r="T38" s="92"/>
      <c r="U38" s="92"/>
      <c r="V38" s="93"/>
      <c r="W38" s="93"/>
      <c r="X38" s="93"/>
      <c r="Y38" s="81"/>
      <c r="Z38" s="92"/>
      <c r="AA38" s="81"/>
      <c r="AB38" s="93"/>
      <c r="AC38" s="93"/>
      <c r="AD38" s="93"/>
      <c r="AG38" s="81"/>
      <c r="AH38" s="92"/>
      <c r="AI38" s="81"/>
      <c r="AJ38" s="93"/>
      <c r="AK38" s="93"/>
      <c r="AM38" s="81"/>
      <c r="AN38" s="92"/>
      <c r="AO38" s="92"/>
      <c r="AP38" s="93"/>
      <c r="AQ38" s="81"/>
      <c r="AR38" s="93"/>
      <c r="AU38" s="81"/>
      <c r="AV38" s="92"/>
      <c r="AW38" s="92"/>
      <c r="AX38" s="93"/>
      <c r="AY38" s="81"/>
      <c r="AZ38" s="93"/>
      <c r="BC38" s="81"/>
      <c r="BD38" s="92"/>
      <c r="BE38" s="152"/>
      <c r="BF38" s="94"/>
      <c r="BG38" s="81"/>
      <c r="BH38" s="81"/>
      <c r="BI38" s="81"/>
      <c r="BJ38" s="93"/>
      <c r="BK38" s="93"/>
      <c r="BL38" s="93"/>
      <c r="BM38" s="81"/>
      <c r="BN38" s="81"/>
      <c r="BO38" s="81"/>
      <c r="BP38" s="93"/>
      <c r="BQ38" s="93"/>
      <c r="BR38" s="93"/>
      <c r="BS38" s="82"/>
      <c r="BT38" s="82"/>
      <c r="BU38" s="81"/>
      <c r="BV38" s="81"/>
      <c r="BW38" s="81"/>
      <c r="BX38" s="93"/>
      <c r="BY38" s="93"/>
      <c r="BZ38" s="82"/>
      <c r="CA38" s="81"/>
      <c r="CB38" s="81"/>
      <c r="CC38" s="81"/>
      <c r="CD38" s="93"/>
      <c r="CE38" s="81"/>
      <c r="CF38" s="93"/>
      <c r="CG38" s="82"/>
      <c r="CH38" s="82"/>
      <c r="CI38" s="81"/>
      <c r="CJ38" s="81"/>
      <c r="CK38" s="81"/>
      <c r="CL38" s="93"/>
      <c r="CM38" s="81"/>
      <c r="CN38" s="93"/>
      <c r="CO38" s="82"/>
      <c r="CP38" s="82"/>
      <c r="CQ38" s="81"/>
      <c r="CR38" s="81"/>
      <c r="CS38" s="171"/>
      <c r="CT38" s="93"/>
      <c r="CU38" s="93"/>
      <c r="CV38" s="93"/>
      <c r="CY38" s="81"/>
      <c r="CZ38" s="93"/>
      <c r="DA38" s="93"/>
      <c r="DB38" s="93"/>
      <c r="DE38" s="81"/>
      <c r="DF38" s="92"/>
      <c r="DG38" s="92"/>
      <c r="DH38" s="93"/>
      <c r="DI38" s="93"/>
      <c r="DJ38" s="93"/>
      <c r="DM38" s="81"/>
      <c r="DN38" s="92"/>
      <c r="DO38" s="92"/>
      <c r="DP38" s="93"/>
      <c r="DQ38" s="93"/>
      <c r="DR38" s="93"/>
      <c r="DU38" s="81"/>
      <c r="DV38" s="92"/>
      <c r="DW38" s="92"/>
      <c r="DX38" s="93"/>
      <c r="DY38" s="93"/>
      <c r="DZ38" s="93"/>
      <c r="EC38" s="81"/>
      <c r="ED38" s="92"/>
      <c r="EE38" s="92"/>
      <c r="EF38" s="93"/>
    </row>
    <row r="39" spans="1:136" ht="21" customHeight="1">
      <c r="D39" s="267" t="s">
        <v>769</v>
      </c>
      <c r="E39" s="267"/>
      <c r="F39" s="267"/>
      <c r="G39" s="267"/>
      <c r="H39" s="267"/>
      <c r="I39" s="267"/>
      <c r="BF39" s="82"/>
      <c r="BH39" s="82"/>
      <c r="BI39" s="82"/>
      <c r="BJ39" s="82"/>
      <c r="BK39" s="82"/>
      <c r="BL39" s="82"/>
      <c r="BM39" s="82"/>
      <c r="BN39" s="82"/>
      <c r="BP39" s="82"/>
      <c r="BQ39" s="82"/>
      <c r="BR39" s="82"/>
      <c r="BS39" s="82"/>
      <c r="BT39" s="82"/>
      <c r="BU39" s="82"/>
      <c r="BV39" s="82"/>
      <c r="BX39" s="82"/>
      <c r="BY39" s="82"/>
      <c r="BZ39" s="82"/>
      <c r="CA39" s="82"/>
      <c r="CB39" s="82"/>
      <c r="CC39" s="82"/>
      <c r="CD39" s="82"/>
      <c r="CF39" s="82"/>
      <c r="CG39" s="82"/>
      <c r="CH39" s="82"/>
      <c r="CI39" s="82"/>
      <c r="CJ39" s="82"/>
      <c r="CK39" s="82"/>
      <c r="CL39" s="82"/>
      <c r="CN39" s="82"/>
      <c r="CO39" s="82"/>
      <c r="CP39" s="82"/>
      <c r="CQ39" s="82"/>
      <c r="CR39" s="82"/>
    </row>
    <row r="40" spans="1:136" ht="18" customHeight="1" thickBot="1">
      <c r="B40" s="138"/>
      <c r="C40" s="138"/>
      <c r="D40" s="117"/>
      <c r="E40" s="117"/>
      <c r="F40" s="117"/>
      <c r="G40" s="117"/>
      <c r="H40" s="112"/>
      <c r="I40" s="85"/>
      <c r="O40" s="85"/>
      <c r="P40" s="87"/>
      <c r="Q40" s="86"/>
      <c r="R40" s="87"/>
      <c r="T40" s="143"/>
      <c r="U40" s="117"/>
      <c r="V40" s="86"/>
      <c r="W40" s="87"/>
      <c r="X40" s="87"/>
      <c r="Y40" s="143"/>
      <c r="Z40" s="143"/>
      <c r="AB40" s="143"/>
      <c r="AC40" s="112"/>
      <c r="AD40" s="112"/>
      <c r="AE40" s="117"/>
      <c r="AF40" s="112"/>
      <c r="AG40" s="143"/>
      <c r="AH40" s="117"/>
      <c r="BF40" s="87"/>
      <c r="BH40" s="143"/>
      <c r="BI40" s="117"/>
      <c r="BJ40" s="86"/>
      <c r="BK40" s="87"/>
      <c r="BL40" s="87"/>
      <c r="BM40" s="143"/>
      <c r="BN40" s="143"/>
      <c r="BP40" s="143"/>
      <c r="BQ40" s="112"/>
      <c r="BR40" s="112"/>
      <c r="BS40" s="117"/>
      <c r="BT40" s="112"/>
      <c r="BU40" s="143"/>
      <c r="BV40" s="117"/>
      <c r="BX40" s="82"/>
      <c r="BY40" s="82"/>
      <c r="BZ40" s="82"/>
      <c r="CA40" s="82"/>
      <c r="CB40" s="82"/>
      <c r="CC40" s="82"/>
      <c r="CD40" s="82"/>
      <c r="CF40" s="82"/>
      <c r="CG40" s="82"/>
      <c r="CH40" s="82"/>
      <c r="CI40" s="82"/>
      <c r="CJ40" s="82"/>
      <c r="CK40" s="82"/>
      <c r="CL40" s="82"/>
      <c r="CN40" s="82"/>
      <c r="CO40" s="82"/>
      <c r="CP40" s="82"/>
      <c r="CQ40" s="82"/>
      <c r="CR40" s="82"/>
    </row>
    <row r="41" spans="1:136" s="144" customFormat="1" ht="24.95" customHeight="1">
      <c r="B41" s="219" t="s">
        <v>758</v>
      </c>
      <c r="C41" s="220"/>
      <c r="D41" s="280" t="s">
        <v>772</v>
      </c>
      <c r="E41" s="281"/>
      <c r="F41" s="281"/>
      <c r="G41" s="281"/>
      <c r="H41" s="281"/>
      <c r="I41" s="282"/>
      <c r="K41" s="230" t="s">
        <v>759</v>
      </c>
      <c r="L41" s="230"/>
      <c r="M41" s="230"/>
      <c r="N41" s="230"/>
      <c r="O41" s="230"/>
      <c r="P41" s="230"/>
      <c r="Q41" s="88"/>
      <c r="R41" s="237" t="s">
        <v>6</v>
      </c>
      <c r="S41" s="237"/>
      <c r="T41" s="237"/>
      <c r="U41" s="237"/>
      <c r="V41" s="237"/>
      <c r="W41" s="237"/>
      <c r="X41" s="237"/>
      <c r="Z41" s="265" t="s">
        <v>8</v>
      </c>
      <c r="AA41" s="265"/>
      <c r="AB41" s="265"/>
      <c r="AC41" s="265"/>
      <c r="AD41" s="265"/>
      <c r="AE41" s="265"/>
      <c r="AF41" s="265"/>
      <c r="AH41" s="264" t="s">
        <v>7</v>
      </c>
      <c r="AI41" s="264"/>
      <c r="AJ41" s="264"/>
      <c r="AK41" s="264"/>
      <c r="AL41" s="264"/>
      <c r="AM41" s="264"/>
      <c r="AN41" s="264"/>
      <c r="AP41" s="230" t="s">
        <v>33</v>
      </c>
      <c r="AQ41" s="230"/>
      <c r="AR41" s="230"/>
      <c r="AS41" s="230"/>
      <c r="AT41" s="230"/>
      <c r="AU41" s="230"/>
      <c r="AV41" s="230"/>
      <c r="AX41" s="253" t="s">
        <v>442</v>
      </c>
      <c r="AY41" s="253"/>
      <c r="AZ41" s="253"/>
      <c r="BA41" s="253"/>
      <c r="BB41" s="253"/>
      <c r="BC41" s="253"/>
      <c r="BD41" s="253"/>
      <c r="BE41" s="150"/>
      <c r="BF41" s="237" t="s">
        <v>789</v>
      </c>
      <c r="BG41" s="237"/>
      <c r="BH41" s="237"/>
      <c r="BI41" s="237"/>
      <c r="BJ41" s="237"/>
      <c r="BK41" s="237"/>
      <c r="BL41" s="237"/>
      <c r="BN41" s="265" t="s">
        <v>790</v>
      </c>
      <c r="BO41" s="265"/>
      <c r="BP41" s="265"/>
      <c r="BQ41" s="265"/>
      <c r="BR41" s="265"/>
      <c r="BS41" s="265"/>
      <c r="BT41" s="265"/>
      <c r="BV41" s="264" t="s">
        <v>791</v>
      </c>
      <c r="BW41" s="264"/>
      <c r="BX41" s="264"/>
      <c r="BY41" s="264"/>
      <c r="BZ41" s="264"/>
      <c r="CA41" s="264"/>
      <c r="CB41" s="264"/>
      <c r="CD41" s="230" t="s">
        <v>792</v>
      </c>
      <c r="CE41" s="230"/>
      <c r="CF41" s="230"/>
      <c r="CG41" s="230"/>
      <c r="CH41" s="230"/>
      <c r="CI41" s="230"/>
      <c r="CJ41" s="230"/>
      <c r="CL41" s="253" t="s">
        <v>793</v>
      </c>
      <c r="CM41" s="253"/>
      <c r="CN41" s="253"/>
      <c r="CO41" s="253"/>
      <c r="CP41" s="253"/>
      <c r="CQ41" s="253"/>
      <c r="CR41" s="253"/>
      <c r="CS41" s="159"/>
      <c r="CT41" s="252" t="s">
        <v>29</v>
      </c>
      <c r="CU41" s="252"/>
      <c r="CV41" s="252"/>
      <c r="CW41" s="252"/>
      <c r="CX41" s="252"/>
    </row>
    <row r="42" spans="1:136" ht="22.5" customHeight="1" thickBot="1">
      <c r="A42" s="127" t="s">
        <v>9</v>
      </c>
      <c r="B42" s="221"/>
      <c r="C42" s="222"/>
      <c r="D42" s="127" t="s">
        <v>9</v>
      </c>
      <c r="E42" s="128" t="s">
        <v>3</v>
      </c>
      <c r="F42" s="128" t="s">
        <v>0</v>
      </c>
      <c r="G42" s="128" t="s">
        <v>21</v>
      </c>
      <c r="H42" s="128"/>
      <c r="I42" s="129" t="s">
        <v>14</v>
      </c>
      <c r="K42" s="79" t="s">
        <v>766</v>
      </c>
      <c r="L42" s="132" t="s">
        <v>4</v>
      </c>
      <c r="M42" s="120" t="s">
        <v>770</v>
      </c>
      <c r="N42" s="90" t="s">
        <v>5</v>
      </c>
      <c r="O42" s="91" t="s">
        <v>28</v>
      </c>
      <c r="P42" s="108" t="s">
        <v>32</v>
      </c>
      <c r="Q42" s="98"/>
      <c r="R42" s="79" t="s">
        <v>766</v>
      </c>
      <c r="S42" s="132" t="s">
        <v>4</v>
      </c>
      <c r="T42" s="120" t="s">
        <v>770</v>
      </c>
      <c r="U42" s="120" t="s">
        <v>5</v>
      </c>
      <c r="V42" s="91" t="s">
        <v>28</v>
      </c>
      <c r="W42" s="108" t="s">
        <v>32</v>
      </c>
      <c r="X42" s="121" t="s">
        <v>761</v>
      </c>
      <c r="Z42" s="79" t="s">
        <v>766</v>
      </c>
      <c r="AA42" s="132" t="s">
        <v>4</v>
      </c>
      <c r="AB42" s="120" t="s">
        <v>770</v>
      </c>
      <c r="AC42" s="120" t="s">
        <v>5</v>
      </c>
      <c r="AD42" s="91" t="s">
        <v>28</v>
      </c>
      <c r="AE42" s="108" t="s">
        <v>32</v>
      </c>
      <c r="AF42" s="121" t="s">
        <v>761</v>
      </c>
      <c r="AH42" s="79" t="s">
        <v>766</v>
      </c>
      <c r="AI42" s="132" t="s">
        <v>4</v>
      </c>
      <c r="AJ42" s="120" t="s">
        <v>770</v>
      </c>
      <c r="AK42" s="120" t="s">
        <v>5</v>
      </c>
      <c r="AL42" s="91" t="s">
        <v>28</v>
      </c>
      <c r="AM42" s="108" t="s">
        <v>32</v>
      </c>
      <c r="AN42" s="121" t="s">
        <v>761</v>
      </c>
      <c r="AP42" s="79" t="s">
        <v>766</v>
      </c>
      <c r="AQ42" s="132" t="s">
        <v>4</v>
      </c>
      <c r="AR42" s="120" t="s">
        <v>770</v>
      </c>
      <c r="AS42" s="120" t="s">
        <v>5</v>
      </c>
      <c r="AT42" s="91" t="s">
        <v>28</v>
      </c>
      <c r="AU42" s="108" t="s">
        <v>32</v>
      </c>
      <c r="AV42" s="121" t="s">
        <v>761</v>
      </c>
      <c r="AX42" s="79" t="s">
        <v>766</v>
      </c>
      <c r="AY42" s="132" t="s">
        <v>4</v>
      </c>
      <c r="AZ42" s="120" t="s">
        <v>770</v>
      </c>
      <c r="BA42" s="120" t="s">
        <v>5</v>
      </c>
      <c r="BB42" s="91" t="s">
        <v>28</v>
      </c>
      <c r="BC42" s="108" t="s">
        <v>32</v>
      </c>
      <c r="BD42" s="121" t="s">
        <v>761</v>
      </c>
      <c r="BE42" s="151"/>
      <c r="BF42" s="79" t="s">
        <v>766</v>
      </c>
      <c r="BG42" s="132" t="s">
        <v>4</v>
      </c>
      <c r="BH42" s="120" t="s">
        <v>770</v>
      </c>
      <c r="BI42" s="120" t="s">
        <v>5</v>
      </c>
      <c r="BJ42" s="91" t="s">
        <v>28</v>
      </c>
      <c r="BK42" s="108" t="s">
        <v>32</v>
      </c>
      <c r="BL42" s="121" t="s">
        <v>761</v>
      </c>
      <c r="BM42" s="82"/>
      <c r="BN42" s="79" t="s">
        <v>766</v>
      </c>
      <c r="BO42" s="132" t="s">
        <v>4</v>
      </c>
      <c r="BP42" s="120" t="s">
        <v>770</v>
      </c>
      <c r="BQ42" s="120" t="s">
        <v>5</v>
      </c>
      <c r="BR42" s="91" t="s">
        <v>28</v>
      </c>
      <c r="BS42" s="108" t="s">
        <v>32</v>
      </c>
      <c r="BT42" s="121" t="s">
        <v>761</v>
      </c>
      <c r="BU42" s="82"/>
      <c r="BV42" s="79" t="s">
        <v>766</v>
      </c>
      <c r="BW42" s="132" t="s">
        <v>4</v>
      </c>
      <c r="BX42" s="120" t="s">
        <v>770</v>
      </c>
      <c r="BY42" s="120" t="s">
        <v>5</v>
      </c>
      <c r="BZ42" s="91" t="s">
        <v>28</v>
      </c>
      <c r="CA42" s="108" t="s">
        <v>32</v>
      </c>
      <c r="CB42" s="121" t="s">
        <v>761</v>
      </c>
      <c r="CC42" s="82"/>
      <c r="CD42" s="79" t="s">
        <v>766</v>
      </c>
      <c r="CE42" s="132" t="s">
        <v>4</v>
      </c>
      <c r="CF42" s="120" t="s">
        <v>770</v>
      </c>
      <c r="CG42" s="120" t="s">
        <v>5</v>
      </c>
      <c r="CH42" s="91" t="s">
        <v>28</v>
      </c>
      <c r="CI42" s="108" t="s">
        <v>32</v>
      </c>
      <c r="CJ42" s="121" t="s">
        <v>761</v>
      </c>
      <c r="CK42" s="82"/>
      <c r="CL42" s="79" t="s">
        <v>766</v>
      </c>
      <c r="CM42" s="132" t="s">
        <v>4</v>
      </c>
      <c r="CN42" s="120" t="s">
        <v>770</v>
      </c>
      <c r="CO42" s="120" t="s">
        <v>5</v>
      </c>
      <c r="CP42" s="91" t="s">
        <v>28</v>
      </c>
      <c r="CQ42" s="108" t="s">
        <v>32</v>
      </c>
      <c r="CR42" s="121" t="s">
        <v>761</v>
      </c>
      <c r="CS42" s="160"/>
      <c r="CT42" s="79" t="s">
        <v>766</v>
      </c>
      <c r="CU42" s="89" t="s">
        <v>4</v>
      </c>
      <c r="CV42" s="90" t="s">
        <v>794</v>
      </c>
      <c r="CW42" s="90" t="s">
        <v>795</v>
      </c>
      <c r="CX42" s="120" t="s">
        <v>32</v>
      </c>
    </row>
    <row r="43" spans="1:136" ht="26.25" customHeight="1">
      <c r="A43" s="83">
        <v>1</v>
      </c>
      <c r="B43" s="188"/>
      <c r="C43" s="188"/>
      <c r="D43" s="83">
        <v>1</v>
      </c>
      <c r="E43" s="122" t="s">
        <v>10</v>
      </c>
      <c r="F43" s="123" t="str">
        <f>INDEX(Table_Name[Name list],MATCH(E43,Table_Name[category],0))</f>
        <v>صدر_علوي[التمرين]</v>
      </c>
      <c r="G43" s="124" t="s">
        <v>192</v>
      </c>
      <c r="H43" s="95" t="str">
        <f>INDEX(Links[الرابط],MATCH(G43,Links[التمرين],0))</f>
        <v>https://www.youtube.com/watch?v=0Wa9CfRXUkA&amp;list=PLyqKj7LwU2RuyZwWCIiDHuFZGN11QW3Ff&amp;index=10</v>
      </c>
      <c r="I43" s="125" t="str">
        <f>HYPERLINK(H43,"Watch")</f>
        <v>Watch</v>
      </c>
      <c r="K43" s="80" t="str">
        <f t="shared" ref="K43:K44" si="177">G43</f>
        <v>Machine incline chest press</v>
      </c>
      <c r="L43" s="97">
        <v>3</v>
      </c>
      <c r="M43" s="103" t="s">
        <v>812</v>
      </c>
      <c r="N43" s="100"/>
      <c r="O43" s="104"/>
      <c r="P43" s="109" t="s">
        <v>771</v>
      </c>
      <c r="Q43" s="94"/>
      <c r="R43" s="80" t="str">
        <f t="shared" ref="R43:R44" si="178">G43</f>
        <v>Machine incline chest press</v>
      </c>
      <c r="S43" s="97">
        <v>3</v>
      </c>
      <c r="T43" s="102" t="str">
        <f>M43</f>
        <v>6-12</v>
      </c>
      <c r="U43" s="100"/>
      <c r="V43" s="104"/>
      <c r="W43" s="149" t="str">
        <f>P43</f>
        <v>60-120 ثانية</v>
      </c>
      <c r="X43" s="107"/>
      <c r="Z43" s="80" t="str">
        <f t="shared" ref="Z43:Z44" si="179">G43</f>
        <v>Machine incline chest press</v>
      </c>
      <c r="AA43" s="97">
        <v>4</v>
      </c>
      <c r="AB43" s="102" t="str">
        <f>M43</f>
        <v>6-12</v>
      </c>
      <c r="AC43" s="100"/>
      <c r="AD43" s="104"/>
      <c r="AE43" s="149" t="str">
        <f>P43</f>
        <v>60-120 ثانية</v>
      </c>
      <c r="AF43" s="107"/>
      <c r="AH43" s="80" t="str">
        <f t="shared" ref="AH43:AH44" si="180">G43</f>
        <v>Machine incline chest press</v>
      </c>
      <c r="AI43" s="97">
        <v>4</v>
      </c>
      <c r="AJ43" s="102" t="str">
        <f>M43</f>
        <v>6-12</v>
      </c>
      <c r="AK43" s="100"/>
      <c r="AL43" s="104"/>
      <c r="AM43" s="149" t="str">
        <f>P43</f>
        <v>60-120 ثانية</v>
      </c>
      <c r="AN43" s="107"/>
      <c r="AP43" s="80" t="str">
        <f t="shared" ref="AP43:AP44" si="181">G43</f>
        <v>Machine incline chest press</v>
      </c>
      <c r="AQ43" s="97">
        <v>4</v>
      </c>
      <c r="AR43" s="102" t="str">
        <f>M43</f>
        <v>6-12</v>
      </c>
      <c r="AS43" s="100"/>
      <c r="AT43" s="104"/>
      <c r="AU43" s="149" t="str">
        <f>P43</f>
        <v>60-120 ثانية</v>
      </c>
      <c r="AV43" s="107"/>
      <c r="AX43" s="80" t="str">
        <f>G43</f>
        <v>Machine incline chest press</v>
      </c>
      <c r="AY43" s="97">
        <v>4</v>
      </c>
      <c r="AZ43" s="102" t="str">
        <f>M43</f>
        <v>6-12</v>
      </c>
      <c r="BA43" s="100"/>
      <c r="BB43" s="104"/>
      <c r="BC43" s="149" t="str">
        <f>P43</f>
        <v>60-120 ثانية</v>
      </c>
      <c r="BD43" s="107"/>
      <c r="BE43" s="138"/>
      <c r="BF43" s="80" t="str">
        <f>G43</f>
        <v>Machine incline chest press</v>
      </c>
      <c r="BG43" s="97">
        <v>4</v>
      </c>
      <c r="BH43" s="102" t="str">
        <f>M43</f>
        <v>6-12</v>
      </c>
      <c r="BI43" s="161"/>
      <c r="BJ43" s="162"/>
      <c r="BK43" s="149" t="str">
        <f>P43</f>
        <v>60-120 ثانية</v>
      </c>
      <c r="BL43" s="107"/>
      <c r="BM43" s="82"/>
      <c r="BN43" s="80" t="str">
        <f>G43</f>
        <v>Machine incline chest press</v>
      </c>
      <c r="BO43" s="97">
        <v>4</v>
      </c>
      <c r="BP43" s="102" t="str">
        <f>M43</f>
        <v>6-12</v>
      </c>
      <c r="BQ43" s="161"/>
      <c r="BR43" s="162"/>
      <c r="BS43" s="149" t="str">
        <f>P43</f>
        <v>60-120 ثانية</v>
      </c>
      <c r="BT43" s="107"/>
      <c r="BU43" s="82"/>
      <c r="BV43" s="80" t="str">
        <f>G43</f>
        <v>Machine incline chest press</v>
      </c>
      <c r="BW43" s="97">
        <v>4</v>
      </c>
      <c r="BX43" s="102" t="str">
        <f>M43</f>
        <v>6-12</v>
      </c>
      <c r="BY43" s="161"/>
      <c r="BZ43" s="162"/>
      <c r="CA43" s="149" t="str">
        <f>P43</f>
        <v>60-120 ثانية</v>
      </c>
      <c r="CB43" s="107"/>
      <c r="CC43" s="82"/>
      <c r="CD43" s="80" t="str">
        <f>G43</f>
        <v>Machine incline chest press</v>
      </c>
      <c r="CE43" s="97">
        <v>4</v>
      </c>
      <c r="CF43" s="102" t="str">
        <f>M43</f>
        <v>6-12</v>
      </c>
      <c r="CG43" s="161"/>
      <c r="CH43" s="162"/>
      <c r="CI43" s="149" t="str">
        <f>P43</f>
        <v>60-120 ثانية</v>
      </c>
      <c r="CJ43" s="107"/>
      <c r="CK43" s="82"/>
      <c r="CL43" s="80" t="str">
        <f>G43</f>
        <v>Machine incline chest press</v>
      </c>
      <c r="CM43" s="97">
        <v>4</v>
      </c>
      <c r="CN43" s="102" t="str">
        <f>M43</f>
        <v>6-12</v>
      </c>
      <c r="CO43" s="161"/>
      <c r="CP43" s="162"/>
      <c r="CQ43" s="149" t="str">
        <f>P43</f>
        <v>60-120 ثانية</v>
      </c>
      <c r="CR43" s="107"/>
      <c r="CS43" s="137"/>
      <c r="CT43" s="80" t="str">
        <f t="shared" ref="CT43:CT44" si="182">G43</f>
        <v>Machine incline chest press</v>
      </c>
      <c r="CU43" s="95">
        <v>2</v>
      </c>
      <c r="CV43" s="163"/>
      <c r="CW43" s="164"/>
      <c r="CX43" s="254" t="s">
        <v>34</v>
      </c>
      <c r="CY43" s="138"/>
    </row>
    <row r="44" spans="1:136" ht="26.25" customHeight="1">
      <c r="A44" s="122">
        <v>2</v>
      </c>
      <c r="B44" s="188"/>
      <c r="C44" s="188"/>
      <c r="D44" s="122">
        <v>2</v>
      </c>
      <c r="E44" s="122" t="s">
        <v>16</v>
      </c>
      <c r="F44" s="123" t="str">
        <f>INDEX(Table_Name[Name list],MATCH(E44,Table_Name[category],0))</f>
        <v>صدر_مستوي[التمرين]</v>
      </c>
      <c r="G44" s="124" t="s">
        <v>57</v>
      </c>
      <c r="H44" s="95" t="str">
        <f>INDEX(Links[الرابط],MATCH(G44,Links[التمرين],0))</f>
        <v>https://www.youtube.com/watch?v=aV1U_mK3XOs&amp;list=PLyqKj7LwU2RuyZwWCIiDHuFZGN11QW3Ff&amp;index=9</v>
      </c>
      <c r="I44" s="125" t="str">
        <f t="shared" ref="I44" si="183">HYPERLINK(H44,"Watch")</f>
        <v>Watch</v>
      </c>
      <c r="K44" s="80" t="str">
        <f t="shared" si="177"/>
        <v>Machine horizontal chest press</v>
      </c>
      <c r="L44" s="97">
        <v>3</v>
      </c>
      <c r="M44" s="103" t="s">
        <v>812</v>
      </c>
      <c r="N44" s="100"/>
      <c r="O44" s="105"/>
      <c r="P44" s="109" t="s">
        <v>771</v>
      </c>
      <c r="Q44" s="94"/>
      <c r="R44" s="80" t="str">
        <f t="shared" si="178"/>
        <v>Machine horizontal chest press</v>
      </c>
      <c r="S44" s="97">
        <v>3</v>
      </c>
      <c r="T44" s="102" t="str">
        <f t="shared" ref="T44" si="184">M44</f>
        <v>6-12</v>
      </c>
      <c r="U44" s="100"/>
      <c r="V44" s="105"/>
      <c r="W44" s="149" t="str">
        <f>P44</f>
        <v>60-120 ثانية</v>
      </c>
      <c r="X44" s="107"/>
      <c r="Z44" s="80" t="str">
        <f t="shared" si="179"/>
        <v>Machine horizontal chest press</v>
      </c>
      <c r="AA44" s="97">
        <v>3</v>
      </c>
      <c r="AB44" s="102" t="str">
        <f t="shared" ref="AB44" si="185">M44</f>
        <v>6-12</v>
      </c>
      <c r="AC44" s="100"/>
      <c r="AD44" s="105"/>
      <c r="AE44" s="149" t="str">
        <f>P44</f>
        <v>60-120 ثانية</v>
      </c>
      <c r="AF44" s="107"/>
      <c r="AH44" s="80" t="str">
        <f t="shared" si="180"/>
        <v>Machine horizontal chest press</v>
      </c>
      <c r="AI44" s="97">
        <v>3</v>
      </c>
      <c r="AJ44" s="102" t="str">
        <f t="shared" ref="AJ44" si="186">M44</f>
        <v>6-12</v>
      </c>
      <c r="AK44" s="100"/>
      <c r="AL44" s="105"/>
      <c r="AM44" s="149" t="str">
        <f>P44</f>
        <v>60-120 ثانية</v>
      </c>
      <c r="AN44" s="107"/>
      <c r="AP44" s="80" t="str">
        <f t="shared" si="181"/>
        <v>Machine horizontal chest press</v>
      </c>
      <c r="AQ44" s="97">
        <v>4</v>
      </c>
      <c r="AR44" s="102" t="str">
        <f t="shared" ref="AR44" si="187">M44</f>
        <v>6-12</v>
      </c>
      <c r="AS44" s="100"/>
      <c r="AT44" s="105"/>
      <c r="AU44" s="149" t="str">
        <f>P44</f>
        <v>60-120 ثانية</v>
      </c>
      <c r="AV44" s="107"/>
      <c r="AX44" s="80" t="str">
        <f t="shared" ref="AX44" si="188">G44</f>
        <v>Machine horizontal chest press</v>
      </c>
      <c r="AY44" s="97">
        <v>4</v>
      </c>
      <c r="AZ44" s="102" t="str">
        <f t="shared" ref="AZ44" si="189">M44</f>
        <v>6-12</v>
      </c>
      <c r="BA44" s="100"/>
      <c r="BB44" s="105"/>
      <c r="BC44" s="149" t="str">
        <f t="shared" ref="BC44" si="190">P44</f>
        <v>60-120 ثانية</v>
      </c>
      <c r="BD44" s="107"/>
      <c r="BE44" s="138"/>
      <c r="BF44" s="80" t="str">
        <f t="shared" ref="BF44" si="191">G44</f>
        <v>Machine horizontal chest press</v>
      </c>
      <c r="BG44" s="97">
        <v>4</v>
      </c>
      <c r="BH44" s="102" t="str">
        <f t="shared" ref="BH44" si="192">M44</f>
        <v>6-12</v>
      </c>
      <c r="BI44" s="161"/>
      <c r="BJ44" s="165"/>
      <c r="BK44" s="149" t="str">
        <f t="shared" ref="BK44" si="193">P44</f>
        <v>60-120 ثانية</v>
      </c>
      <c r="BL44" s="107"/>
      <c r="BM44" s="82"/>
      <c r="BN44" s="80" t="str">
        <f t="shared" ref="BN44" si="194">G44</f>
        <v>Machine horizontal chest press</v>
      </c>
      <c r="BO44" s="97">
        <v>4</v>
      </c>
      <c r="BP44" s="102" t="str">
        <f t="shared" ref="BP44" si="195">M44</f>
        <v>6-12</v>
      </c>
      <c r="BQ44" s="161"/>
      <c r="BR44" s="165"/>
      <c r="BS44" s="149" t="str">
        <f t="shared" ref="BS44" si="196">P44</f>
        <v>60-120 ثانية</v>
      </c>
      <c r="BT44" s="107"/>
      <c r="BU44" s="82"/>
      <c r="BV44" s="80" t="str">
        <f t="shared" ref="BV44" si="197">G44</f>
        <v>Machine horizontal chest press</v>
      </c>
      <c r="BW44" s="97">
        <v>4</v>
      </c>
      <c r="BX44" s="102" t="str">
        <f t="shared" ref="BX44" si="198">M44</f>
        <v>6-12</v>
      </c>
      <c r="BY44" s="161"/>
      <c r="BZ44" s="165"/>
      <c r="CA44" s="149" t="str">
        <f t="shared" ref="CA44" si="199">P44</f>
        <v>60-120 ثانية</v>
      </c>
      <c r="CB44" s="107"/>
      <c r="CC44" s="82"/>
      <c r="CD44" s="80" t="str">
        <f t="shared" ref="CD44" si="200">G44</f>
        <v>Machine horizontal chest press</v>
      </c>
      <c r="CE44" s="97">
        <v>4</v>
      </c>
      <c r="CF44" s="102" t="str">
        <f t="shared" ref="CF44" si="201">M44</f>
        <v>6-12</v>
      </c>
      <c r="CG44" s="161"/>
      <c r="CH44" s="165"/>
      <c r="CI44" s="149" t="str">
        <f t="shared" ref="CI44" si="202">P44</f>
        <v>60-120 ثانية</v>
      </c>
      <c r="CJ44" s="107"/>
      <c r="CK44" s="82"/>
      <c r="CL44" s="80" t="str">
        <f t="shared" ref="CL44" si="203">G44</f>
        <v>Machine horizontal chest press</v>
      </c>
      <c r="CM44" s="97">
        <v>4</v>
      </c>
      <c r="CN44" s="102" t="str">
        <f t="shared" ref="CN44" si="204">M44</f>
        <v>6-12</v>
      </c>
      <c r="CO44" s="161"/>
      <c r="CP44" s="165"/>
      <c r="CQ44" s="149" t="str">
        <f t="shared" ref="CQ44" si="205">P44</f>
        <v>60-120 ثانية</v>
      </c>
      <c r="CR44" s="107"/>
      <c r="CS44" s="137"/>
      <c r="CT44" s="80" t="str">
        <f t="shared" si="182"/>
        <v>Machine horizontal chest press</v>
      </c>
      <c r="CU44" s="166">
        <v>2</v>
      </c>
      <c r="CV44" s="167"/>
      <c r="CW44" s="168"/>
      <c r="CX44" s="254"/>
      <c r="CY44" s="138"/>
    </row>
    <row r="45" spans="1:136" ht="26.25" customHeight="1">
      <c r="A45" s="133">
        <v>3</v>
      </c>
      <c r="B45" s="188"/>
      <c r="C45" s="188"/>
      <c r="D45" s="133">
        <v>3</v>
      </c>
      <c r="E45" s="83" t="s">
        <v>247</v>
      </c>
      <c r="F45" s="123" t="str">
        <f>INDEX(Table_Name[Name list],MATCH(E45,Table_Name[category],0))</f>
        <v>سحب_افقي_ظهر[التمرين]</v>
      </c>
      <c r="G45" s="124" t="s">
        <v>255</v>
      </c>
      <c r="H45" s="95" t="str">
        <f>INDEX(Links[الرابط],MATCH(G45,Links[التمرين],0))</f>
        <v>https://www.youtube.com/watch?v=UCXxvVItLoM&amp;list=PLyqKj7LwU2RsCtKw3UlE85HYgPM3-xoO1&amp;index=21</v>
      </c>
      <c r="I45" s="125" t="str">
        <f>HYPERLINK(H45,"Watch")</f>
        <v>Watch</v>
      </c>
      <c r="K45" s="80" t="str">
        <f t="shared" ref="K45:K48" si="206">G45</f>
        <v>Seated Cable row</v>
      </c>
      <c r="L45" s="133">
        <v>3</v>
      </c>
      <c r="M45" s="103" t="s">
        <v>812</v>
      </c>
      <c r="N45" s="73"/>
      <c r="O45" s="76"/>
      <c r="P45" s="109" t="s">
        <v>771</v>
      </c>
      <c r="Q45" s="94"/>
      <c r="R45" s="80" t="str">
        <f t="shared" ref="R45:R48" si="207">G45</f>
        <v>Seated Cable row</v>
      </c>
      <c r="S45" s="133">
        <v>3</v>
      </c>
      <c r="T45" s="102" t="str">
        <f>M45</f>
        <v>6-12</v>
      </c>
      <c r="U45" s="100"/>
      <c r="V45" s="104"/>
      <c r="W45" s="109" t="str">
        <f t="shared" ref="W45:W48" si="208">P45</f>
        <v>60-120 ثانية</v>
      </c>
      <c r="X45" s="107"/>
      <c r="Z45" s="80" t="str">
        <f t="shared" ref="Z45:Z48" si="209">G45</f>
        <v>Seated Cable row</v>
      </c>
      <c r="AA45" s="133">
        <v>4</v>
      </c>
      <c r="AB45" s="102" t="str">
        <f>M45</f>
        <v>6-12</v>
      </c>
      <c r="AC45" s="100"/>
      <c r="AD45" s="104"/>
      <c r="AE45" s="109" t="str">
        <f>P45</f>
        <v>60-120 ثانية</v>
      </c>
      <c r="AF45" s="107"/>
      <c r="AH45" s="80" t="str">
        <f t="shared" ref="AH45:AH48" si="210">G45</f>
        <v>Seated Cable row</v>
      </c>
      <c r="AI45" s="133">
        <v>4</v>
      </c>
      <c r="AJ45" s="102" t="str">
        <f>M45</f>
        <v>6-12</v>
      </c>
      <c r="AK45" s="100"/>
      <c r="AL45" s="104"/>
      <c r="AM45" s="109" t="str">
        <f>P45</f>
        <v>60-120 ثانية</v>
      </c>
      <c r="AN45" s="107"/>
      <c r="AP45" s="80" t="str">
        <f t="shared" ref="AP45:AP48" si="211">G45</f>
        <v>Seated Cable row</v>
      </c>
      <c r="AQ45" s="133">
        <v>4</v>
      </c>
      <c r="AR45" s="102" t="str">
        <f>M45</f>
        <v>6-12</v>
      </c>
      <c r="AS45" s="100"/>
      <c r="AT45" s="104"/>
      <c r="AU45" s="109" t="str">
        <f>P45</f>
        <v>60-120 ثانية</v>
      </c>
      <c r="AV45" s="107"/>
      <c r="AX45" s="80" t="str">
        <f>G45</f>
        <v>Seated Cable row</v>
      </c>
      <c r="AY45" s="97">
        <v>4</v>
      </c>
      <c r="AZ45" s="102" t="str">
        <f>M45</f>
        <v>6-12</v>
      </c>
      <c r="BA45" s="100"/>
      <c r="BB45" s="104"/>
      <c r="BC45" s="149" t="str">
        <f>P45</f>
        <v>60-120 ثانية</v>
      </c>
      <c r="BD45" s="107"/>
      <c r="BE45" s="138"/>
      <c r="BF45" s="80" t="str">
        <f t="shared" ref="BF45:BF48" si="212">G45</f>
        <v>Seated Cable row</v>
      </c>
      <c r="BG45" s="97">
        <v>4</v>
      </c>
      <c r="BH45" s="102" t="str">
        <f t="shared" ref="BH45:BH48" si="213">M45</f>
        <v>6-12</v>
      </c>
      <c r="BI45" s="161"/>
      <c r="BJ45" s="162"/>
      <c r="BK45" s="149" t="str">
        <f t="shared" ref="BK45:BK48" si="214">P45</f>
        <v>60-120 ثانية</v>
      </c>
      <c r="BL45" s="107"/>
      <c r="BM45" s="82"/>
      <c r="BN45" s="80" t="str">
        <f t="shared" ref="BN45:BN48" si="215">G45</f>
        <v>Seated Cable row</v>
      </c>
      <c r="BO45" s="97">
        <v>4</v>
      </c>
      <c r="BP45" s="102" t="str">
        <f t="shared" ref="BP45:BP48" si="216">M45</f>
        <v>6-12</v>
      </c>
      <c r="BQ45" s="161"/>
      <c r="BR45" s="162"/>
      <c r="BS45" s="149" t="str">
        <f t="shared" ref="BS45:BS48" si="217">P45</f>
        <v>60-120 ثانية</v>
      </c>
      <c r="BT45" s="107"/>
      <c r="BU45" s="82"/>
      <c r="BV45" s="80" t="str">
        <f t="shared" ref="BV45:BV48" si="218">G45</f>
        <v>Seated Cable row</v>
      </c>
      <c r="BW45" s="97">
        <v>4</v>
      </c>
      <c r="BX45" s="102" t="str">
        <f t="shared" ref="BX45:BX48" si="219">M45</f>
        <v>6-12</v>
      </c>
      <c r="BY45" s="161"/>
      <c r="BZ45" s="162"/>
      <c r="CA45" s="149" t="str">
        <f t="shared" ref="CA45:CA48" si="220">P45</f>
        <v>60-120 ثانية</v>
      </c>
      <c r="CB45" s="107"/>
      <c r="CC45" s="82"/>
      <c r="CD45" s="80" t="str">
        <f t="shared" ref="CD45:CD48" si="221">G45</f>
        <v>Seated Cable row</v>
      </c>
      <c r="CE45" s="97">
        <v>4</v>
      </c>
      <c r="CF45" s="102" t="str">
        <f t="shared" ref="CF45:CF48" si="222">M45</f>
        <v>6-12</v>
      </c>
      <c r="CG45" s="161"/>
      <c r="CH45" s="162"/>
      <c r="CI45" s="149" t="str">
        <f t="shared" ref="CI45:CI46" si="223">P45</f>
        <v>60-120 ثانية</v>
      </c>
      <c r="CJ45" s="107"/>
      <c r="CK45" s="82"/>
      <c r="CL45" s="80" t="str">
        <f t="shared" ref="CL45:CL48" si="224">G45</f>
        <v>Seated Cable row</v>
      </c>
      <c r="CM45" s="97">
        <v>4</v>
      </c>
      <c r="CN45" s="102" t="str">
        <f t="shared" ref="CN45:CN48" si="225">M45</f>
        <v>6-12</v>
      </c>
      <c r="CO45" s="161"/>
      <c r="CP45" s="162"/>
      <c r="CQ45" s="149" t="str">
        <f t="shared" ref="CQ45:CQ48" si="226">P45</f>
        <v>60-120 ثانية</v>
      </c>
      <c r="CR45" s="107"/>
      <c r="CS45" s="137"/>
      <c r="CT45" s="80" t="str">
        <f t="shared" ref="CT45:CT48" si="227">G45</f>
        <v>Seated Cable row</v>
      </c>
      <c r="CU45" s="95">
        <v>2</v>
      </c>
      <c r="CV45" s="163"/>
      <c r="CW45" s="164"/>
      <c r="CX45" s="254"/>
      <c r="CY45" s="138"/>
    </row>
    <row r="46" spans="1:136" ht="26.25" customHeight="1">
      <c r="A46" s="133">
        <v>4</v>
      </c>
      <c r="B46" s="283"/>
      <c r="C46" s="283"/>
      <c r="D46" s="133">
        <v>4</v>
      </c>
      <c r="E46" s="83" t="s">
        <v>382</v>
      </c>
      <c r="F46" s="123" t="str">
        <f>INDEX(Table_Name[Name list],MATCH(E46,Table_Name[category],0))</f>
        <v>سحب_رأسي_ظهر[التمرين]</v>
      </c>
      <c r="G46" s="124" t="s">
        <v>236</v>
      </c>
      <c r="H46" s="95" t="str">
        <f>INDEX(Links[الرابط],MATCH(G46,Links[التمرين],0))</f>
        <v>https://www.youtube.com/watch?v=VprlTxpB1rk&amp;list=PLyqKj7LwU2RsCtKw3UlE85HYgPM3-xoO1&amp;index=29</v>
      </c>
      <c r="I46" s="125" t="str">
        <f t="shared" ref="I46:I48" si="228">HYPERLINK(H46,"Watch")</f>
        <v>Watch</v>
      </c>
      <c r="K46" s="80" t="str">
        <f t="shared" si="206"/>
        <v>Underhand pulldown</v>
      </c>
      <c r="L46" s="133">
        <v>3</v>
      </c>
      <c r="M46" s="103" t="s">
        <v>812</v>
      </c>
      <c r="N46" s="96"/>
      <c r="O46" s="77"/>
      <c r="P46" s="109" t="s">
        <v>771</v>
      </c>
      <c r="Q46" s="94"/>
      <c r="R46" s="80" t="str">
        <f t="shared" si="207"/>
        <v>Underhand pulldown</v>
      </c>
      <c r="S46" s="133">
        <v>3</v>
      </c>
      <c r="T46" s="102" t="str">
        <f t="shared" ref="T46:T48" si="229">M46</f>
        <v>6-12</v>
      </c>
      <c r="U46" s="100"/>
      <c r="V46" s="105"/>
      <c r="W46" s="109" t="str">
        <f>P46</f>
        <v>60-120 ثانية</v>
      </c>
      <c r="X46" s="107"/>
      <c r="Z46" s="80" t="str">
        <f t="shared" si="209"/>
        <v>Underhand pulldown</v>
      </c>
      <c r="AA46" s="133">
        <v>3</v>
      </c>
      <c r="AB46" s="102" t="str">
        <f t="shared" ref="AB46:AB48" si="230">M46</f>
        <v>6-12</v>
      </c>
      <c r="AC46" s="100"/>
      <c r="AD46" s="105"/>
      <c r="AE46" s="109" t="str">
        <f t="shared" ref="AE46:AE48" si="231">P46</f>
        <v>60-120 ثانية</v>
      </c>
      <c r="AF46" s="107"/>
      <c r="AH46" s="80" t="str">
        <f t="shared" si="210"/>
        <v>Underhand pulldown</v>
      </c>
      <c r="AI46" s="133">
        <v>3</v>
      </c>
      <c r="AJ46" s="102" t="str">
        <f t="shared" ref="AJ46:AJ48" si="232">M46</f>
        <v>6-12</v>
      </c>
      <c r="AK46" s="100"/>
      <c r="AL46" s="105"/>
      <c r="AM46" s="109" t="str">
        <f t="shared" ref="AM46:AM48" si="233">P46</f>
        <v>60-120 ثانية</v>
      </c>
      <c r="AN46" s="107"/>
      <c r="AP46" s="80" t="str">
        <f t="shared" si="211"/>
        <v>Underhand pulldown</v>
      </c>
      <c r="AQ46" s="133">
        <v>4</v>
      </c>
      <c r="AR46" s="102" t="str">
        <f t="shared" ref="AR46:AR48" si="234">M46</f>
        <v>6-12</v>
      </c>
      <c r="AS46" s="100"/>
      <c r="AT46" s="105"/>
      <c r="AU46" s="109" t="str">
        <f t="shared" ref="AU46:AU48" si="235">P46</f>
        <v>60-120 ثانية</v>
      </c>
      <c r="AV46" s="107"/>
      <c r="AX46" s="80" t="str">
        <f t="shared" ref="AX46:AX48" si="236">G46</f>
        <v>Underhand pulldown</v>
      </c>
      <c r="AY46" s="97">
        <v>4</v>
      </c>
      <c r="AZ46" s="102" t="str">
        <f t="shared" ref="AZ46:AZ48" si="237">M46</f>
        <v>6-12</v>
      </c>
      <c r="BA46" s="100"/>
      <c r="BB46" s="105"/>
      <c r="BC46" s="149" t="str">
        <f t="shared" ref="BC46:BC48" si="238">P46</f>
        <v>60-120 ثانية</v>
      </c>
      <c r="BD46" s="107"/>
      <c r="BE46" s="138"/>
      <c r="BF46" s="80" t="str">
        <f t="shared" si="212"/>
        <v>Underhand pulldown</v>
      </c>
      <c r="BG46" s="97">
        <v>4</v>
      </c>
      <c r="BH46" s="102" t="str">
        <f t="shared" si="213"/>
        <v>6-12</v>
      </c>
      <c r="BI46" s="161"/>
      <c r="BJ46" s="165"/>
      <c r="BK46" s="149" t="str">
        <f t="shared" si="214"/>
        <v>60-120 ثانية</v>
      </c>
      <c r="BL46" s="107"/>
      <c r="BM46" s="82"/>
      <c r="BN46" s="80" t="str">
        <f t="shared" si="215"/>
        <v>Underhand pulldown</v>
      </c>
      <c r="BO46" s="97">
        <v>4</v>
      </c>
      <c r="BP46" s="102" t="str">
        <f t="shared" si="216"/>
        <v>6-12</v>
      </c>
      <c r="BQ46" s="161"/>
      <c r="BR46" s="165"/>
      <c r="BS46" s="149" t="str">
        <f t="shared" si="217"/>
        <v>60-120 ثانية</v>
      </c>
      <c r="BT46" s="107"/>
      <c r="BU46" s="82"/>
      <c r="BV46" s="80" t="str">
        <f t="shared" si="218"/>
        <v>Underhand pulldown</v>
      </c>
      <c r="BW46" s="97">
        <v>4</v>
      </c>
      <c r="BX46" s="102" t="str">
        <f t="shared" si="219"/>
        <v>6-12</v>
      </c>
      <c r="BY46" s="161"/>
      <c r="BZ46" s="165"/>
      <c r="CA46" s="149" t="str">
        <f t="shared" si="220"/>
        <v>60-120 ثانية</v>
      </c>
      <c r="CB46" s="107"/>
      <c r="CC46" s="82"/>
      <c r="CD46" s="80" t="str">
        <f t="shared" si="221"/>
        <v>Underhand pulldown</v>
      </c>
      <c r="CE46" s="97">
        <v>4</v>
      </c>
      <c r="CF46" s="102" t="str">
        <f t="shared" si="222"/>
        <v>6-12</v>
      </c>
      <c r="CG46" s="161"/>
      <c r="CH46" s="165"/>
      <c r="CI46" s="149" t="str">
        <f t="shared" si="223"/>
        <v>60-120 ثانية</v>
      </c>
      <c r="CJ46" s="107"/>
      <c r="CK46" s="82"/>
      <c r="CL46" s="80" t="str">
        <f t="shared" si="224"/>
        <v>Underhand pulldown</v>
      </c>
      <c r="CM46" s="97">
        <v>4</v>
      </c>
      <c r="CN46" s="102" t="str">
        <f t="shared" si="225"/>
        <v>6-12</v>
      </c>
      <c r="CO46" s="161"/>
      <c r="CP46" s="165"/>
      <c r="CQ46" s="149" t="str">
        <f t="shared" si="226"/>
        <v>60-120 ثانية</v>
      </c>
      <c r="CR46" s="107"/>
      <c r="CS46" s="137"/>
      <c r="CT46" s="80" t="str">
        <f t="shared" si="227"/>
        <v>Underhand pulldown</v>
      </c>
      <c r="CU46" s="166">
        <v>2</v>
      </c>
      <c r="CV46" s="167"/>
      <c r="CW46" s="168"/>
      <c r="CX46" s="254"/>
      <c r="CY46" s="138"/>
    </row>
    <row r="47" spans="1:136" ht="26.25" customHeight="1">
      <c r="A47" s="133">
        <v>5</v>
      </c>
      <c r="B47" s="188"/>
      <c r="C47" s="188"/>
      <c r="D47" s="133">
        <v>5</v>
      </c>
      <c r="E47" s="83" t="s">
        <v>12</v>
      </c>
      <c r="F47" s="123" t="str">
        <f>INDEX(Table_Name[Name list],MATCH(E47,Table_Name[category],0))</f>
        <v>ترايسيبس[التمرين]</v>
      </c>
      <c r="G47" s="124" t="s">
        <v>36</v>
      </c>
      <c r="H47" s="95" t="str">
        <f>INDEX(Links[الرابط],MATCH(G47,Links[التمرين],0))</f>
        <v>https://www.youtube.com/watch?v=6Fzep104f0s&amp;list=PLyqKj7LwU2RtMd8vP3NEoig1RPJQK78Ea&amp;index=6</v>
      </c>
      <c r="I47" s="125" t="str">
        <f t="shared" si="228"/>
        <v>Watch</v>
      </c>
      <c r="K47" s="80" t="str">
        <f t="shared" si="206"/>
        <v>Cable triceps pushdown</v>
      </c>
      <c r="L47" s="133">
        <v>3</v>
      </c>
      <c r="M47" s="103" t="s">
        <v>812</v>
      </c>
      <c r="N47" s="96"/>
      <c r="O47" s="77"/>
      <c r="P47" s="109" t="s">
        <v>771</v>
      </c>
      <c r="Q47" s="94"/>
      <c r="R47" s="80" t="str">
        <f t="shared" si="207"/>
        <v>Cable triceps pushdown</v>
      </c>
      <c r="S47" s="133">
        <v>3</v>
      </c>
      <c r="T47" s="102" t="str">
        <f t="shared" si="229"/>
        <v>6-12</v>
      </c>
      <c r="U47" s="100"/>
      <c r="V47" s="105"/>
      <c r="W47" s="109" t="str">
        <f t="shared" si="208"/>
        <v>60-120 ثانية</v>
      </c>
      <c r="X47" s="107"/>
      <c r="Z47" s="80" t="str">
        <f t="shared" si="209"/>
        <v>Cable triceps pushdown</v>
      </c>
      <c r="AA47" s="133">
        <v>3</v>
      </c>
      <c r="AB47" s="102" t="str">
        <f t="shared" si="230"/>
        <v>6-12</v>
      </c>
      <c r="AC47" s="100"/>
      <c r="AD47" s="105"/>
      <c r="AE47" s="109" t="str">
        <f t="shared" si="231"/>
        <v>60-120 ثانية</v>
      </c>
      <c r="AF47" s="107"/>
      <c r="AH47" s="80" t="str">
        <f t="shared" si="210"/>
        <v>Cable triceps pushdown</v>
      </c>
      <c r="AI47" s="133">
        <v>3</v>
      </c>
      <c r="AJ47" s="102" t="str">
        <f t="shared" si="232"/>
        <v>6-12</v>
      </c>
      <c r="AK47" s="100"/>
      <c r="AL47" s="105"/>
      <c r="AM47" s="109" t="str">
        <f t="shared" si="233"/>
        <v>60-120 ثانية</v>
      </c>
      <c r="AN47" s="107"/>
      <c r="AP47" s="80" t="str">
        <f t="shared" si="211"/>
        <v>Cable triceps pushdown</v>
      </c>
      <c r="AQ47" s="133">
        <v>3</v>
      </c>
      <c r="AR47" s="102" t="str">
        <f t="shared" si="234"/>
        <v>6-12</v>
      </c>
      <c r="AS47" s="100"/>
      <c r="AT47" s="105"/>
      <c r="AU47" s="109" t="str">
        <f t="shared" si="235"/>
        <v>60-120 ثانية</v>
      </c>
      <c r="AV47" s="107"/>
      <c r="AX47" s="80" t="str">
        <f t="shared" si="236"/>
        <v>Cable triceps pushdown</v>
      </c>
      <c r="AY47" s="133">
        <v>3</v>
      </c>
      <c r="AZ47" s="102" t="str">
        <f t="shared" si="237"/>
        <v>6-12</v>
      </c>
      <c r="BA47" s="100"/>
      <c r="BB47" s="105"/>
      <c r="BC47" s="149" t="str">
        <f t="shared" si="238"/>
        <v>60-120 ثانية</v>
      </c>
      <c r="BD47" s="107"/>
      <c r="BE47" s="138"/>
      <c r="BF47" s="80" t="str">
        <f t="shared" si="212"/>
        <v>Cable triceps pushdown</v>
      </c>
      <c r="BG47" s="133">
        <v>3</v>
      </c>
      <c r="BH47" s="102" t="str">
        <f t="shared" si="213"/>
        <v>6-12</v>
      </c>
      <c r="BI47" s="161"/>
      <c r="BJ47" s="165"/>
      <c r="BK47" s="149" t="str">
        <f t="shared" si="214"/>
        <v>60-120 ثانية</v>
      </c>
      <c r="BL47" s="107"/>
      <c r="BM47" s="82"/>
      <c r="BN47" s="80" t="str">
        <f t="shared" si="215"/>
        <v>Cable triceps pushdown</v>
      </c>
      <c r="BO47" s="133">
        <v>3</v>
      </c>
      <c r="BP47" s="102" t="str">
        <f t="shared" si="216"/>
        <v>6-12</v>
      </c>
      <c r="BQ47" s="161"/>
      <c r="BR47" s="165"/>
      <c r="BS47" s="149" t="str">
        <f t="shared" si="217"/>
        <v>60-120 ثانية</v>
      </c>
      <c r="BT47" s="107"/>
      <c r="BU47" s="82"/>
      <c r="BV47" s="80" t="str">
        <f t="shared" si="218"/>
        <v>Cable triceps pushdown</v>
      </c>
      <c r="BW47" s="133">
        <v>3</v>
      </c>
      <c r="BX47" s="102" t="str">
        <f t="shared" si="219"/>
        <v>6-12</v>
      </c>
      <c r="BY47" s="161"/>
      <c r="BZ47" s="165"/>
      <c r="CA47" s="149" t="str">
        <f t="shared" si="220"/>
        <v>60-120 ثانية</v>
      </c>
      <c r="CB47" s="107"/>
      <c r="CC47" s="82"/>
      <c r="CD47" s="80" t="str">
        <f t="shared" si="221"/>
        <v>Cable triceps pushdown</v>
      </c>
      <c r="CE47" s="133">
        <v>3</v>
      </c>
      <c r="CF47" s="102" t="str">
        <f t="shared" si="222"/>
        <v>6-12</v>
      </c>
      <c r="CG47" s="161"/>
      <c r="CH47" s="165"/>
      <c r="CI47" s="149" t="str">
        <f>P47</f>
        <v>60-120 ثانية</v>
      </c>
      <c r="CJ47" s="107"/>
      <c r="CK47" s="82"/>
      <c r="CL47" s="80" t="str">
        <f t="shared" si="224"/>
        <v>Cable triceps pushdown</v>
      </c>
      <c r="CM47" s="133">
        <v>3</v>
      </c>
      <c r="CN47" s="102" t="str">
        <f t="shared" si="225"/>
        <v>6-12</v>
      </c>
      <c r="CO47" s="161"/>
      <c r="CP47" s="165"/>
      <c r="CQ47" s="149" t="str">
        <f t="shared" si="226"/>
        <v>60-120 ثانية</v>
      </c>
      <c r="CR47" s="107"/>
      <c r="CS47" s="137"/>
      <c r="CT47" s="80" t="str">
        <f t="shared" si="227"/>
        <v>Cable triceps pushdown</v>
      </c>
      <c r="CU47" s="166">
        <v>2</v>
      </c>
      <c r="CV47" s="167"/>
      <c r="CW47" s="168"/>
      <c r="CX47" s="254"/>
      <c r="CY47" s="138"/>
    </row>
    <row r="48" spans="1:136" ht="26.25" customHeight="1">
      <c r="A48" s="133">
        <v>6</v>
      </c>
      <c r="B48" s="188"/>
      <c r="C48" s="188"/>
      <c r="D48" s="133">
        <v>6</v>
      </c>
      <c r="E48" s="83" t="s">
        <v>11</v>
      </c>
      <c r="F48" s="123" t="str">
        <f>INDEX(Table_Name[Name list],MATCH(E48,Table_Name[category],0))</f>
        <v>بايسيبس[التمرين]</v>
      </c>
      <c r="G48" s="124" t="s">
        <v>53</v>
      </c>
      <c r="H48" s="95" t="str">
        <f>INDEX(Links[الرابط],MATCH(G48,Links[التمرين],0))</f>
        <v>https://www.youtube.com/watch?v=840rgLSw-84</v>
      </c>
      <c r="I48" s="125" t="str">
        <f t="shared" si="228"/>
        <v>Watch</v>
      </c>
      <c r="K48" s="80" t="str">
        <f t="shared" si="206"/>
        <v>Cable biceps curl</v>
      </c>
      <c r="L48" s="133">
        <v>3</v>
      </c>
      <c r="M48" s="84" t="s">
        <v>812</v>
      </c>
      <c r="N48" s="75"/>
      <c r="O48" s="78"/>
      <c r="P48" s="109" t="s">
        <v>771</v>
      </c>
      <c r="Q48" s="94"/>
      <c r="R48" s="80" t="str">
        <f t="shared" si="207"/>
        <v>Cable biceps curl</v>
      </c>
      <c r="S48" s="133">
        <v>3</v>
      </c>
      <c r="T48" s="102" t="str">
        <f t="shared" si="229"/>
        <v>6-12</v>
      </c>
      <c r="U48" s="100"/>
      <c r="V48" s="105"/>
      <c r="W48" s="109" t="str">
        <f t="shared" si="208"/>
        <v>60-120 ثانية</v>
      </c>
      <c r="X48" s="107"/>
      <c r="Z48" s="80" t="str">
        <f t="shared" si="209"/>
        <v>Cable biceps curl</v>
      </c>
      <c r="AA48" s="133">
        <v>3</v>
      </c>
      <c r="AB48" s="102" t="str">
        <f t="shared" si="230"/>
        <v>6-12</v>
      </c>
      <c r="AC48" s="100"/>
      <c r="AD48" s="105"/>
      <c r="AE48" s="109" t="str">
        <f t="shared" si="231"/>
        <v>60-120 ثانية</v>
      </c>
      <c r="AF48" s="107"/>
      <c r="AH48" s="80" t="str">
        <f t="shared" si="210"/>
        <v>Cable biceps curl</v>
      </c>
      <c r="AI48" s="133">
        <v>3</v>
      </c>
      <c r="AJ48" s="102" t="str">
        <f t="shared" si="232"/>
        <v>6-12</v>
      </c>
      <c r="AK48" s="100"/>
      <c r="AL48" s="105"/>
      <c r="AM48" s="109" t="str">
        <f t="shared" si="233"/>
        <v>60-120 ثانية</v>
      </c>
      <c r="AN48" s="107"/>
      <c r="AP48" s="80" t="str">
        <f t="shared" si="211"/>
        <v>Cable biceps curl</v>
      </c>
      <c r="AQ48" s="133">
        <v>3</v>
      </c>
      <c r="AR48" s="102" t="str">
        <f t="shared" si="234"/>
        <v>6-12</v>
      </c>
      <c r="AS48" s="100"/>
      <c r="AT48" s="105"/>
      <c r="AU48" s="109" t="str">
        <f t="shared" si="235"/>
        <v>60-120 ثانية</v>
      </c>
      <c r="AV48" s="107"/>
      <c r="AX48" s="80" t="str">
        <f t="shared" si="236"/>
        <v>Cable biceps curl</v>
      </c>
      <c r="AY48" s="133">
        <v>3</v>
      </c>
      <c r="AZ48" s="102" t="str">
        <f t="shared" si="237"/>
        <v>6-12</v>
      </c>
      <c r="BA48" s="100"/>
      <c r="BB48" s="105"/>
      <c r="BC48" s="149" t="str">
        <f t="shared" si="238"/>
        <v>60-120 ثانية</v>
      </c>
      <c r="BD48" s="107"/>
      <c r="BE48" s="138"/>
      <c r="BF48" s="80" t="str">
        <f t="shared" si="212"/>
        <v>Cable biceps curl</v>
      </c>
      <c r="BG48" s="133">
        <v>3</v>
      </c>
      <c r="BH48" s="102" t="str">
        <f t="shared" si="213"/>
        <v>6-12</v>
      </c>
      <c r="BI48" s="161"/>
      <c r="BJ48" s="165"/>
      <c r="BK48" s="149" t="str">
        <f t="shared" si="214"/>
        <v>60-120 ثانية</v>
      </c>
      <c r="BL48" s="107"/>
      <c r="BM48" s="82"/>
      <c r="BN48" s="80" t="str">
        <f t="shared" si="215"/>
        <v>Cable biceps curl</v>
      </c>
      <c r="BO48" s="133">
        <v>3</v>
      </c>
      <c r="BP48" s="102" t="str">
        <f t="shared" si="216"/>
        <v>6-12</v>
      </c>
      <c r="BQ48" s="161"/>
      <c r="BR48" s="165"/>
      <c r="BS48" s="149" t="str">
        <f t="shared" si="217"/>
        <v>60-120 ثانية</v>
      </c>
      <c r="BT48" s="107"/>
      <c r="BU48" s="82"/>
      <c r="BV48" s="80" t="str">
        <f t="shared" si="218"/>
        <v>Cable biceps curl</v>
      </c>
      <c r="BW48" s="133">
        <v>3</v>
      </c>
      <c r="BX48" s="102" t="str">
        <f t="shared" si="219"/>
        <v>6-12</v>
      </c>
      <c r="BY48" s="161"/>
      <c r="BZ48" s="165"/>
      <c r="CA48" s="149" t="str">
        <f t="shared" si="220"/>
        <v>60-120 ثانية</v>
      </c>
      <c r="CB48" s="107"/>
      <c r="CC48" s="82"/>
      <c r="CD48" s="80" t="str">
        <f t="shared" si="221"/>
        <v>Cable biceps curl</v>
      </c>
      <c r="CE48" s="133">
        <v>3</v>
      </c>
      <c r="CF48" s="102" t="str">
        <f t="shared" si="222"/>
        <v>6-12</v>
      </c>
      <c r="CG48" s="161"/>
      <c r="CH48" s="165"/>
      <c r="CI48" s="149" t="str">
        <f>P48</f>
        <v>60-120 ثانية</v>
      </c>
      <c r="CJ48" s="107"/>
      <c r="CK48" s="82"/>
      <c r="CL48" s="80" t="str">
        <f t="shared" si="224"/>
        <v>Cable biceps curl</v>
      </c>
      <c r="CM48" s="133">
        <v>3</v>
      </c>
      <c r="CN48" s="102" t="str">
        <f t="shared" si="225"/>
        <v>6-12</v>
      </c>
      <c r="CO48" s="161"/>
      <c r="CP48" s="165"/>
      <c r="CQ48" s="149" t="str">
        <f t="shared" si="226"/>
        <v>60-120 ثانية</v>
      </c>
      <c r="CR48" s="107"/>
      <c r="CS48" s="137"/>
      <c r="CT48" s="80" t="str">
        <f t="shared" si="227"/>
        <v>Cable biceps curl</v>
      </c>
      <c r="CU48" s="166">
        <v>2</v>
      </c>
      <c r="CV48" s="167"/>
      <c r="CW48" s="168"/>
      <c r="CX48" s="254"/>
      <c r="CY48" s="138"/>
    </row>
    <row r="49" spans="1:136" ht="18" customHeight="1" thickBot="1">
      <c r="D49" s="112"/>
      <c r="E49" s="112"/>
      <c r="F49" s="112"/>
      <c r="G49" s="112"/>
      <c r="H49" s="112"/>
      <c r="I49" s="87"/>
      <c r="L49" s="112"/>
      <c r="S49" s="112"/>
      <c r="AA49" s="112"/>
      <c r="AI49" s="112"/>
      <c r="AQ49" s="112"/>
      <c r="AY49" s="112"/>
      <c r="BF49" s="82"/>
      <c r="BG49" s="112"/>
      <c r="BH49" s="82"/>
      <c r="BI49" s="82"/>
      <c r="BJ49" s="82"/>
      <c r="BK49" s="82"/>
      <c r="BL49" s="82"/>
      <c r="BM49" s="82"/>
      <c r="BN49" s="82"/>
      <c r="BO49" s="112"/>
      <c r="BP49" s="82"/>
      <c r="BQ49" s="82"/>
      <c r="BR49" s="82"/>
      <c r="BS49" s="82"/>
      <c r="BT49" s="82"/>
      <c r="BU49" s="82"/>
      <c r="BV49" s="82"/>
      <c r="BW49" s="112"/>
      <c r="BX49" s="82"/>
      <c r="BY49" s="82"/>
      <c r="BZ49" s="82"/>
      <c r="CA49" s="82"/>
      <c r="CB49" s="82"/>
      <c r="CC49" s="82"/>
      <c r="CD49" s="82"/>
      <c r="CE49" s="112"/>
      <c r="CF49" s="82"/>
      <c r="CG49" s="82"/>
      <c r="CH49" s="82"/>
      <c r="CI49" s="82"/>
      <c r="CJ49" s="82"/>
      <c r="CK49" s="82"/>
      <c r="CL49" s="82"/>
      <c r="CM49" s="112"/>
      <c r="CN49" s="82"/>
      <c r="CO49" s="82"/>
      <c r="CP49" s="82"/>
      <c r="CQ49" s="82"/>
      <c r="CR49" s="82"/>
    </row>
    <row r="50" spans="1:136" s="144" customFormat="1" ht="24.95" customHeight="1">
      <c r="B50" s="219" t="s">
        <v>758</v>
      </c>
      <c r="C50" s="220"/>
      <c r="D50" s="277" t="s">
        <v>796</v>
      </c>
      <c r="E50" s="278"/>
      <c r="F50" s="278"/>
      <c r="G50" s="278"/>
      <c r="H50" s="278"/>
      <c r="I50" s="279"/>
      <c r="K50" s="230" t="s">
        <v>759</v>
      </c>
      <c r="L50" s="230"/>
      <c r="M50" s="230"/>
      <c r="N50" s="230"/>
      <c r="O50" s="230"/>
      <c r="P50" s="230"/>
      <c r="Q50" s="88"/>
      <c r="R50" s="237" t="s">
        <v>6</v>
      </c>
      <c r="S50" s="237"/>
      <c r="T50" s="237"/>
      <c r="U50" s="237"/>
      <c r="V50" s="237"/>
      <c r="W50" s="237"/>
      <c r="X50" s="237"/>
      <c r="Z50" s="265" t="s">
        <v>8</v>
      </c>
      <c r="AA50" s="265"/>
      <c r="AB50" s="265"/>
      <c r="AC50" s="265"/>
      <c r="AD50" s="265"/>
      <c r="AE50" s="265"/>
      <c r="AF50" s="265"/>
      <c r="AH50" s="264" t="s">
        <v>7</v>
      </c>
      <c r="AI50" s="264"/>
      <c r="AJ50" s="264"/>
      <c r="AK50" s="264"/>
      <c r="AL50" s="264"/>
      <c r="AM50" s="264"/>
      <c r="AN50" s="264"/>
      <c r="AP50" s="230" t="s">
        <v>33</v>
      </c>
      <c r="AQ50" s="230"/>
      <c r="AR50" s="230"/>
      <c r="AS50" s="230"/>
      <c r="AT50" s="230"/>
      <c r="AU50" s="230"/>
      <c r="AV50" s="230"/>
      <c r="AX50" s="253" t="s">
        <v>442</v>
      </c>
      <c r="AY50" s="253"/>
      <c r="AZ50" s="253"/>
      <c r="BA50" s="253"/>
      <c r="BB50" s="253"/>
      <c r="BC50" s="253"/>
      <c r="BD50" s="253"/>
      <c r="BE50" s="150"/>
      <c r="BF50" s="237" t="s">
        <v>789</v>
      </c>
      <c r="BG50" s="237"/>
      <c r="BH50" s="237"/>
      <c r="BI50" s="237"/>
      <c r="BJ50" s="237"/>
      <c r="BK50" s="237"/>
      <c r="BL50" s="237"/>
      <c r="BN50" s="265" t="s">
        <v>790</v>
      </c>
      <c r="BO50" s="265"/>
      <c r="BP50" s="265"/>
      <c r="BQ50" s="265"/>
      <c r="BR50" s="265"/>
      <c r="BS50" s="265"/>
      <c r="BT50" s="265"/>
      <c r="BV50" s="264" t="s">
        <v>791</v>
      </c>
      <c r="BW50" s="264"/>
      <c r="BX50" s="264"/>
      <c r="BY50" s="264"/>
      <c r="BZ50" s="264"/>
      <c r="CA50" s="264"/>
      <c r="CB50" s="264"/>
      <c r="CD50" s="230" t="s">
        <v>792</v>
      </c>
      <c r="CE50" s="230"/>
      <c r="CF50" s="230"/>
      <c r="CG50" s="230"/>
      <c r="CH50" s="230"/>
      <c r="CI50" s="230"/>
      <c r="CJ50" s="230"/>
      <c r="CL50" s="253" t="s">
        <v>793</v>
      </c>
      <c r="CM50" s="253"/>
      <c r="CN50" s="253"/>
      <c r="CO50" s="253"/>
      <c r="CP50" s="253"/>
      <c r="CQ50" s="253"/>
      <c r="CR50" s="253"/>
      <c r="CS50" s="159"/>
      <c r="CT50" s="252" t="s">
        <v>29</v>
      </c>
      <c r="CU50" s="252"/>
      <c r="CV50" s="252"/>
      <c r="CW50" s="252"/>
      <c r="CX50" s="252"/>
    </row>
    <row r="51" spans="1:136" ht="22.5" customHeight="1" thickBot="1">
      <c r="A51" s="127" t="s">
        <v>9</v>
      </c>
      <c r="B51" s="221"/>
      <c r="C51" s="222"/>
      <c r="D51" s="127" t="s">
        <v>9</v>
      </c>
      <c r="E51" s="128" t="s">
        <v>3</v>
      </c>
      <c r="F51" s="128" t="s">
        <v>0</v>
      </c>
      <c r="G51" s="128" t="s">
        <v>21</v>
      </c>
      <c r="H51" s="128"/>
      <c r="I51" s="129" t="s">
        <v>14</v>
      </c>
      <c r="K51" s="79" t="s">
        <v>766</v>
      </c>
      <c r="L51" s="89" t="s">
        <v>4</v>
      </c>
      <c r="M51" s="120" t="s">
        <v>770</v>
      </c>
      <c r="N51" s="90" t="s">
        <v>5</v>
      </c>
      <c r="O51" s="91" t="s">
        <v>28</v>
      </c>
      <c r="P51" s="108" t="s">
        <v>32</v>
      </c>
      <c r="Q51" s="98"/>
      <c r="R51" s="79" t="s">
        <v>766</v>
      </c>
      <c r="S51" s="89" t="s">
        <v>4</v>
      </c>
      <c r="T51" s="120" t="s">
        <v>770</v>
      </c>
      <c r="U51" s="90" t="s">
        <v>5</v>
      </c>
      <c r="V51" s="91" t="s">
        <v>28</v>
      </c>
      <c r="W51" s="108" t="s">
        <v>32</v>
      </c>
      <c r="X51" s="121" t="s">
        <v>761</v>
      </c>
      <c r="Z51" s="79" t="s">
        <v>766</v>
      </c>
      <c r="AA51" s="89" t="s">
        <v>4</v>
      </c>
      <c r="AB51" s="120" t="s">
        <v>770</v>
      </c>
      <c r="AC51" s="90" t="s">
        <v>5</v>
      </c>
      <c r="AD51" s="91" t="s">
        <v>28</v>
      </c>
      <c r="AE51" s="108" t="s">
        <v>32</v>
      </c>
      <c r="AF51" s="121" t="s">
        <v>761</v>
      </c>
      <c r="AH51" s="79" t="s">
        <v>766</v>
      </c>
      <c r="AI51" s="89" t="s">
        <v>4</v>
      </c>
      <c r="AJ51" s="120" t="s">
        <v>770</v>
      </c>
      <c r="AK51" s="90" t="s">
        <v>5</v>
      </c>
      <c r="AL51" s="91" t="s">
        <v>28</v>
      </c>
      <c r="AM51" s="108" t="s">
        <v>32</v>
      </c>
      <c r="AN51" s="121" t="s">
        <v>761</v>
      </c>
      <c r="AP51" s="79" t="s">
        <v>766</v>
      </c>
      <c r="AQ51" s="89" t="s">
        <v>4</v>
      </c>
      <c r="AR51" s="120" t="s">
        <v>770</v>
      </c>
      <c r="AS51" s="90" t="s">
        <v>5</v>
      </c>
      <c r="AT51" s="91" t="s">
        <v>28</v>
      </c>
      <c r="AU51" s="108" t="s">
        <v>32</v>
      </c>
      <c r="AV51" s="121" t="s">
        <v>761</v>
      </c>
      <c r="AX51" s="79" t="s">
        <v>766</v>
      </c>
      <c r="AY51" s="89" t="s">
        <v>4</v>
      </c>
      <c r="AZ51" s="120" t="s">
        <v>770</v>
      </c>
      <c r="BA51" s="90" t="s">
        <v>5</v>
      </c>
      <c r="BB51" s="91" t="s">
        <v>28</v>
      </c>
      <c r="BC51" s="108" t="s">
        <v>32</v>
      </c>
      <c r="BD51" s="121" t="s">
        <v>761</v>
      </c>
      <c r="BE51" s="151"/>
      <c r="BF51" s="79" t="s">
        <v>766</v>
      </c>
      <c r="BG51" s="89" t="s">
        <v>4</v>
      </c>
      <c r="BH51" s="120" t="s">
        <v>770</v>
      </c>
      <c r="BI51" s="90" t="s">
        <v>5</v>
      </c>
      <c r="BJ51" s="91" t="s">
        <v>28</v>
      </c>
      <c r="BK51" s="108" t="s">
        <v>32</v>
      </c>
      <c r="BL51" s="121" t="s">
        <v>761</v>
      </c>
      <c r="BM51" s="82"/>
      <c r="BN51" s="79" t="s">
        <v>766</v>
      </c>
      <c r="BO51" s="89" t="s">
        <v>4</v>
      </c>
      <c r="BP51" s="120" t="s">
        <v>770</v>
      </c>
      <c r="BQ51" s="90" t="s">
        <v>5</v>
      </c>
      <c r="BR51" s="91" t="s">
        <v>28</v>
      </c>
      <c r="BS51" s="108" t="s">
        <v>32</v>
      </c>
      <c r="BT51" s="121" t="s">
        <v>761</v>
      </c>
      <c r="BU51" s="82"/>
      <c r="BV51" s="79" t="s">
        <v>766</v>
      </c>
      <c r="BW51" s="89" t="s">
        <v>4</v>
      </c>
      <c r="BX51" s="120" t="s">
        <v>770</v>
      </c>
      <c r="BY51" s="90" t="s">
        <v>5</v>
      </c>
      <c r="BZ51" s="91" t="s">
        <v>28</v>
      </c>
      <c r="CA51" s="108" t="s">
        <v>32</v>
      </c>
      <c r="CB51" s="121" t="s">
        <v>761</v>
      </c>
      <c r="CC51" s="82"/>
      <c r="CD51" s="79" t="s">
        <v>766</v>
      </c>
      <c r="CE51" s="89" t="s">
        <v>4</v>
      </c>
      <c r="CF51" s="120" t="s">
        <v>770</v>
      </c>
      <c r="CG51" s="90" t="s">
        <v>5</v>
      </c>
      <c r="CH51" s="91" t="s">
        <v>28</v>
      </c>
      <c r="CI51" s="108" t="s">
        <v>32</v>
      </c>
      <c r="CJ51" s="121" t="s">
        <v>761</v>
      </c>
      <c r="CK51" s="82"/>
      <c r="CL51" s="79" t="s">
        <v>766</v>
      </c>
      <c r="CM51" s="89" t="s">
        <v>4</v>
      </c>
      <c r="CN51" s="120" t="s">
        <v>770</v>
      </c>
      <c r="CO51" s="90" t="s">
        <v>5</v>
      </c>
      <c r="CP51" s="91" t="s">
        <v>28</v>
      </c>
      <c r="CQ51" s="108" t="s">
        <v>32</v>
      </c>
      <c r="CR51" s="121" t="s">
        <v>761</v>
      </c>
      <c r="CS51" s="160"/>
      <c r="CT51" s="79" t="s">
        <v>766</v>
      </c>
      <c r="CU51" s="89" t="s">
        <v>4</v>
      </c>
      <c r="CV51" s="90" t="s">
        <v>794</v>
      </c>
      <c r="CW51" s="90" t="s">
        <v>795</v>
      </c>
      <c r="CX51" s="120" t="s">
        <v>32</v>
      </c>
    </row>
    <row r="52" spans="1:136" ht="26.25" customHeight="1">
      <c r="A52" s="122">
        <v>1</v>
      </c>
      <c r="B52" s="188"/>
      <c r="C52" s="188"/>
      <c r="D52" s="122">
        <v>1</v>
      </c>
      <c r="E52" s="122" t="s">
        <v>773</v>
      </c>
      <c r="F52" s="123" t="str">
        <f>INDEX(Table_Name[Name list],MATCH(E52,Table_Name[category],0))</f>
        <v>اكتاف_جانبي[التمرين]</v>
      </c>
      <c r="G52" s="124" t="s">
        <v>153</v>
      </c>
      <c r="H52" s="95" t="str">
        <f>INDEX(Links[الرابط],MATCH(G52,Links[التمرين],0))</f>
        <v>https://www.youtube.com/watch?v=qr3ziolhjvQ&amp;list=PLyqKj7LwU2RuNVJBl0CtfZdxQ99IhKCcu&amp;index=3</v>
      </c>
      <c r="I52" s="125" t="str">
        <f t="shared" ref="I52:I53" si="239">HYPERLINK(H52,"Watch")</f>
        <v>Watch</v>
      </c>
      <c r="K52" s="80" t="str">
        <f t="shared" ref="K52:K57" si="240">G52</f>
        <v>Cable upright rows</v>
      </c>
      <c r="L52" s="97">
        <v>3</v>
      </c>
      <c r="M52" s="103" t="s">
        <v>812</v>
      </c>
      <c r="N52" s="100"/>
      <c r="O52" s="105"/>
      <c r="P52" s="109" t="s">
        <v>771</v>
      </c>
      <c r="Q52" s="94"/>
      <c r="R52" s="80" t="str">
        <f t="shared" ref="R52:R57" si="241">G52</f>
        <v>Cable upright rows</v>
      </c>
      <c r="S52" s="97">
        <v>3</v>
      </c>
      <c r="T52" s="102" t="str">
        <f t="shared" ref="T52:T53" si="242">M52</f>
        <v>6-12</v>
      </c>
      <c r="U52" s="100"/>
      <c r="V52" s="105"/>
      <c r="W52" s="109" t="str">
        <f t="shared" ref="W52:W53" si="243">P52</f>
        <v>60-120 ثانية</v>
      </c>
      <c r="X52" s="107"/>
      <c r="Z52" s="80" t="str">
        <f t="shared" ref="Z52:Z57" si="244">G52</f>
        <v>Cable upright rows</v>
      </c>
      <c r="AA52" s="97">
        <v>3</v>
      </c>
      <c r="AB52" s="102" t="str">
        <f t="shared" ref="AB52:AB53" si="245">M52</f>
        <v>6-12</v>
      </c>
      <c r="AC52" s="100"/>
      <c r="AD52" s="105"/>
      <c r="AE52" s="109" t="str">
        <f t="shared" ref="AE52:AE53" si="246">P52</f>
        <v>60-120 ثانية</v>
      </c>
      <c r="AF52" s="107"/>
      <c r="AH52" s="80" t="str">
        <f t="shared" ref="AH52:AH57" si="247">G52</f>
        <v>Cable upright rows</v>
      </c>
      <c r="AI52" s="97">
        <v>4</v>
      </c>
      <c r="AJ52" s="102" t="str">
        <f t="shared" ref="AJ52:AJ53" si="248">M52</f>
        <v>6-12</v>
      </c>
      <c r="AK52" s="100"/>
      <c r="AL52" s="105"/>
      <c r="AM52" s="109" t="str">
        <f t="shared" ref="AM52:AM53" si="249">P52</f>
        <v>60-120 ثانية</v>
      </c>
      <c r="AN52" s="107"/>
      <c r="AP52" s="80" t="str">
        <f t="shared" ref="AP52:AP57" si="250">G52</f>
        <v>Cable upright rows</v>
      </c>
      <c r="AQ52" s="97">
        <v>4</v>
      </c>
      <c r="AR52" s="102" t="str">
        <f t="shared" ref="AR52:AR53" si="251">M52</f>
        <v>6-12</v>
      </c>
      <c r="AS52" s="100"/>
      <c r="AT52" s="105"/>
      <c r="AU52" s="109" t="str">
        <f t="shared" ref="AU52:AU53" si="252">P52</f>
        <v>60-120 ثانية</v>
      </c>
      <c r="AV52" s="107"/>
      <c r="AX52" s="80" t="str">
        <f t="shared" ref="AX52:AX53" si="253">G52</f>
        <v>Cable upright rows</v>
      </c>
      <c r="AY52" s="97">
        <v>4</v>
      </c>
      <c r="AZ52" s="102" t="str">
        <f t="shared" ref="AZ52:AZ53" si="254">M52</f>
        <v>6-12</v>
      </c>
      <c r="BA52" s="100"/>
      <c r="BB52" s="105"/>
      <c r="BC52" s="149" t="str">
        <f t="shared" ref="BC52:BC53" si="255">P52</f>
        <v>60-120 ثانية</v>
      </c>
      <c r="BD52" s="107"/>
      <c r="BE52" s="138"/>
      <c r="BF52" s="80" t="str">
        <f>G52</f>
        <v>Cable upright rows</v>
      </c>
      <c r="BG52" s="97">
        <v>4</v>
      </c>
      <c r="BH52" s="102" t="str">
        <f>M52</f>
        <v>6-12</v>
      </c>
      <c r="BI52" s="161"/>
      <c r="BJ52" s="165"/>
      <c r="BK52" s="149" t="str">
        <f>P52</f>
        <v>60-120 ثانية</v>
      </c>
      <c r="BL52" s="107"/>
      <c r="BM52" s="82"/>
      <c r="BN52" s="80" t="str">
        <f>G52</f>
        <v>Cable upright rows</v>
      </c>
      <c r="BO52" s="97">
        <v>4</v>
      </c>
      <c r="BP52" s="102" t="str">
        <f>M52</f>
        <v>6-12</v>
      </c>
      <c r="BQ52" s="161"/>
      <c r="BR52" s="165"/>
      <c r="BS52" s="149" t="str">
        <f>P52</f>
        <v>60-120 ثانية</v>
      </c>
      <c r="BT52" s="107"/>
      <c r="BU52" s="82"/>
      <c r="BV52" s="80" t="str">
        <f>G52</f>
        <v>Cable upright rows</v>
      </c>
      <c r="BW52" s="97">
        <v>4</v>
      </c>
      <c r="BX52" s="102" t="str">
        <f>M52</f>
        <v>6-12</v>
      </c>
      <c r="BY52" s="161"/>
      <c r="BZ52" s="165"/>
      <c r="CA52" s="149" t="str">
        <f>P52</f>
        <v>60-120 ثانية</v>
      </c>
      <c r="CB52" s="107"/>
      <c r="CC52" s="82"/>
      <c r="CD52" s="80" t="str">
        <f>G52</f>
        <v>Cable upright rows</v>
      </c>
      <c r="CE52" s="97">
        <v>4</v>
      </c>
      <c r="CF52" s="102" t="str">
        <f>M52</f>
        <v>6-12</v>
      </c>
      <c r="CG52" s="161"/>
      <c r="CH52" s="165"/>
      <c r="CI52" s="149" t="str">
        <f>P52</f>
        <v>60-120 ثانية</v>
      </c>
      <c r="CJ52" s="107"/>
      <c r="CK52" s="82"/>
      <c r="CL52" s="80" t="str">
        <f>G52</f>
        <v>Cable upright rows</v>
      </c>
      <c r="CM52" s="97">
        <v>4</v>
      </c>
      <c r="CN52" s="102" t="str">
        <f>M52</f>
        <v>6-12</v>
      </c>
      <c r="CO52" s="161"/>
      <c r="CP52" s="165"/>
      <c r="CQ52" s="149" t="str">
        <f>P52</f>
        <v>60-120 ثانية</v>
      </c>
      <c r="CR52" s="107"/>
      <c r="CS52" s="137"/>
      <c r="CT52" s="80" t="str">
        <f t="shared" ref="CT52:CT57" si="256">G52</f>
        <v>Cable upright rows</v>
      </c>
      <c r="CU52" s="166">
        <v>2</v>
      </c>
      <c r="CV52" s="167"/>
      <c r="CW52" s="168"/>
      <c r="CX52" s="254" t="s">
        <v>34</v>
      </c>
      <c r="CY52" s="138"/>
    </row>
    <row r="53" spans="1:136" ht="26.25" customHeight="1">
      <c r="A53" s="122">
        <v>2</v>
      </c>
      <c r="B53" s="188"/>
      <c r="C53" s="188"/>
      <c r="D53" s="122">
        <v>2</v>
      </c>
      <c r="E53" s="122" t="s">
        <v>129</v>
      </c>
      <c r="F53" s="123" t="str">
        <f>INDEX(Table_Name[Name list],MATCH(E53,Table_Name[category],0))</f>
        <v>أكتاف_أمامي[التمرين]</v>
      </c>
      <c r="G53" s="124" t="s">
        <v>137</v>
      </c>
      <c r="H53" s="95" t="str">
        <f>INDEX(Links[الرابط],MATCH(G53,Links[التمرين],0))</f>
        <v>https://www.youtube.com/watch?v=WvLMauqrnK8&amp;list=PLyqKj7LwU2RtjiVutSXk5uC2h7KVMu1Az&amp;index=5</v>
      </c>
      <c r="I53" s="125" t="str">
        <f t="shared" si="239"/>
        <v>Watch</v>
      </c>
      <c r="K53" s="80" t="str">
        <f t="shared" si="240"/>
        <v>Machine shoulder press</v>
      </c>
      <c r="L53" s="97">
        <v>3</v>
      </c>
      <c r="M53" s="103" t="s">
        <v>812</v>
      </c>
      <c r="N53" s="100"/>
      <c r="O53" s="105"/>
      <c r="P53" s="109" t="s">
        <v>771</v>
      </c>
      <c r="Q53" s="94"/>
      <c r="R53" s="80" t="str">
        <f t="shared" si="241"/>
        <v>Machine shoulder press</v>
      </c>
      <c r="S53" s="97">
        <v>3</v>
      </c>
      <c r="T53" s="102" t="str">
        <f t="shared" si="242"/>
        <v>6-12</v>
      </c>
      <c r="U53" s="100"/>
      <c r="V53" s="105"/>
      <c r="W53" s="109" t="str">
        <f t="shared" si="243"/>
        <v>60-120 ثانية</v>
      </c>
      <c r="X53" s="107"/>
      <c r="Z53" s="80" t="str">
        <f t="shared" si="244"/>
        <v>Machine shoulder press</v>
      </c>
      <c r="AA53" s="97">
        <v>3</v>
      </c>
      <c r="AB53" s="102" t="str">
        <f t="shared" si="245"/>
        <v>6-12</v>
      </c>
      <c r="AC53" s="100"/>
      <c r="AD53" s="105"/>
      <c r="AE53" s="109" t="str">
        <f t="shared" si="246"/>
        <v>60-120 ثانية</v>
      </c>
      <c r="AF53" s="107"/>
      <c r="AH53" s="80" t="str">
        <f t="shared" si="247"/>
        <v>Machine shoulder press</v>
      </c>
      <c r="AI53" s="97">
        <v>3</v>
      </c>
      <c r="AJ53" s="102" t="str">
        <f t="shared" si="248"/>
        <v>6-12</v>
      </c>
      <c r="AK53" s="100"/>
      <c r="AL53" s="105"/>
      <c r="AM53" s="109" t="str">
        <f t="shared" si="249"/>
        <v>60-120 ثانية</v>
      </c>
      <c r="AN53" s="107"/>
      <c r="AP53" s="80" t="str">
        <f t="shared" si="250"/>
        <v>Machine shoulder press</v>
      </c>
      <c r="AQ53" s="97">
        <v>3</v>
      </c>
      <c r="AR53" s="102" t="str">
        <f t="shared" si="251"/>
        <v>6-12</v>
      </c>
      <c r="AS53" s="100"/>
      <c r="AT53" s="105"/>
      <c r="AU53" s="109" t="str">
        <f t="shared" si="252"/>
        <v>60-120 ثانية</v>
      </c>
      <c r="AV53" s="107"/>
      <c r="AX53" s="80" t="str">
        <f t="shared" si="253"/>
        <v>Machine shoulder press</v>
      </c>
      <c r="AY53" s="97">
        <v>3</v>
      </c>
      <c r="AZ53" s="102" t="str">
        <f t="shared" si="254"/>
        <v>6-12</v>
      </c>
      <c r="BA53" s="100"/>
      <c r="BB53" s="105"/>
      <c r="BC53" s="149" t="str">
        <f t="shared" si="255"/>
        <v>60-120 ثانية</v>
      </c>
      <c r="BD53" s="107"/>
      <c r="BE53" s="138"/>
      <c r="BF53" s="80" t="str">
        <f t="shared" ref="BF53" si="257">G53</f>
        <v>Machine shoulder press</v>
      </c>
      <c r="BG53" s="97">
        <v>3</v>
      </c>
      <c r="BH53" s="102" t="str">
        <f t="shared" ref="BH53" si="258">M53</f>
        <v>6-12</v>
      </c>
      <c r="BI53" s="161"/>
      <c r="BJ53" s="165"/>
      <c r="BK53" s="149" t="str">
        <f t="shared" ref="BK53" si="259">P53</f>
        <v>60-120 ثانية</v>
      </c>
      <c r="BL53" s="107"/>
      <c r="BM53" s="82"/>
      <c r="BN53" s="80" t="str">
        <f t="shared" ref="BN53" si="260">G53</f>
        <v>Machine shoulder press</v>
      </c>
      <c r="BO53" s="97">
        <v>3</v>
      </c>
      <c r="BP53" s="102" t="str">
        <f t="shared" ref="BP53" si="261">M53</f>
        <v>6-12</v>
      </c>
      <c r="BQ53" s="161"/>
      <c r="BR53" s="165"/>
      <c r="BS53" s="149" t="str">
        <f t="shared" ref="BS53" si="262">P53</f>
        <v>60-120 ثانية</v>
      </c>
      <c r="BT53" s="107"/>
      <c r="BU53" s="82"/>
      <c r="BV53" s="80" t="str">
        <f t="shared" ref="BV53" si="263">G53</f>
        <v>Machine shoulder press</v>
      </c>
      <c r="BW53" s="97">
        <v>3</v>
      </c>
      <c r="BX53" s="102" t="str">
        <f t="shared" ref="BX53" si="264">M53</f>
        <v>6-12</v>
      </c>
      <c r="BY53" s="161"/>
      <c r="BZ53" s="165"/>
      <c r="CA53" s="149" t="str">
        <f t="shared" ref="CA53" si="265">P53</f>
        <v>60-120 ثانية</v>
      </c>
      <c r="CB53" s="107"/>
      <c r="CC53" s="82"/>
      <c r="CD53" s="80" t="str">
        <f t="shared" ref="CD53" si="266">G53</f>
        <v>Machine shoulder press</v>
      </c>
      <c r="CE53" s="97">
        <v>3</v>
      </c>
      <c r="CF53" s="102" t="str">
        <f t="shared" ref="CF53" si="267">M53</f>
        <v>6-12</v>
      </c>
      <c r="CG53" s="161"/>
      <c r="CH53" s="165"/>
      <c r="CI53" s="149" t="str">
        <f t="shared" ref="CI53" si="268">P53</f>
        <v>60-120 ثانية</v>
      </c>
      <c r="CJ53" s="107"/>
      <c r="CK53" s="82"/>
      <c r="CL53" s="80" t="str">
        <f t="shared" ref="CL53" si="269">G53</f>
        <v>Machine shoulder press</v>
      </c>
      <c r="CM53" s="97">
        <v>3</v>
      </c>
      <c r="CN53" s="102" t="str">
        <f t="shared" ref="CN53" si="270">M53</f>
        <v>6-12</v>
      </c>
      <c r="CO53" s="161"/>
      <c r="CP53" s="165"/>
      <c r="CQ53" s="149" t="str">
        <f t="shared" ref="CQ53" si="271">P53</f>
        <v>60-120 ثانية</v>
      </c>
      <c r="CR53" s="107"/>
      <c r="CS53" s="137"/>
      <c r="CT53" s="80" t="str">
        <f t="shared" si="256"/>
        <v>Machine shoulder press</v>
      </c>
      <c r="CU53" s="166">
        <v>2</v>
      </c>
      <c r="CV53" s="167"/>
      <c r="CW53" s="168"/>
      <c r="CX53" s="254"/>
      <c r="CY53" s="138"/>
    </row>
    <row r="54" spans="1:136" ht="26.25" customHeight="1">
      <c r="A54" s="122">
        <v>3</v>
      </c>
      <c r="B54" s="244"/>
      <c r="C54" s="245"/>
      <c r="D54" s="122">
        <v>3</v>
      </c>
      <c r="E54" s="122" t="s">
        <v>381</v>
      </c>
      <c r="F54" s="123" t="str">
        <f>INDEX(Table_Name[Name list],MATCH(E54,Table_Name[category],0))</f>
        <v>رجلين_أمامي[التمرين]</v>
      </c>
      <c r="G54" s="124" t="s">
        <v>37</v>
      </c>
      <c r="H54" s="95" t="str">
        <f>INDEX(Links[الرابط],MATCH(G54,Links[التمرين],0))</f>
        <v>https://www.youtube.com/watch?v=yZmx_Ac3880&amp;list=PLyqKj7LwU2RuAg-us4mzap6izNcc1fuRW&amp;index=7</v>
      </c>
      <c r="I54" s="125" t="str">
        <f>HYPERLINK(H54,"Watch")</f>
        <v>Watch</v>
      </c>
      <c r="K54" s="80" t="str">
        <f t="shared" si="240"/>
        <v>Leg press</v>
      </c>
      <c r="L54" s="83">
        <v>3</v>
      </c>
      <c r="M54" s="103" t="s">
        <v>812</v>
      </c>
      <c r="N54" s="73"/>
      <c r="O54" s="76"/>
      <c r="P54" s="109" t="s">
        <v>771</v>
      </c>
      <c r="Q54" s="94"/>
      <c r="R54" s="80" t="str">
        <f t="shared" si="241"/>
        <v>Leg press</v>
      </c>
      <c r="S54" s="83">
        <v>3</v>
      </c>
      <c r="T54" s="102" t="str">
        <f>M54</f>
        <v>6-12</v>
      </c>
      <c r="U54" s="73"/>
      <c r="V54" s="76"/>
      <c r="W54" s="109" t="str">
        <f>P54</f>
        <v>60-120 ثانية</v>
      </c>
      <c r="X54" s="107"/>
      <c r="Z54" s="80" t="str">
        <f t="shared" si="244"/>
        <v>Leg press</v>
      </c>
      <c r="AA54" s="83">
        <v>3</v>
      </c>
      <c r="AB54" s="102" t="str">
        <f>M54</f>
        <v>6-12</v>
      </c>
      <c r="AC54" s="73"/>
      <c r="AD54" s="76"/>
      <c r="AE54" s="109" t="str">
        <f>P54</f>
        <v>60-120 ثانية</v>
      </c>
      <c r="AF54" s="107"/>
      <c r="AH54" s="80" t="str">
        <f t="shared" si="247"/>
        <v>Leg press</v>
      </c>
      <c r="AI54" s="83">
        <v>4</v>
      </c>
      <c r="AJ54" s="102" t="str">
        <f>M54</f>
        <v>6-12</v>
      </c>
      <c r="AK54" s="73"/>
      <c r="AL54" s="76"/>
      <c r="AM54" s="109" t="str">
        <f>P54</f>
        <v>60-120 ثانية</v>
      </c>
      <c r="AN54" s="107"/>
      <c r="AP54" s="80" t="str">
        <f t="shared" si="250"/>
        <v>Leg press</v>
      </c>
      <c r="AQ54" s="83">
        <v>4</v>
      </c>
      <c r="AR54" s="102" t="str">
        <f>M54</f>
        <v>6-12</v>
      </c>
      <c r="AS54" s="73"/>
      <c r="AT54" s="76"/>
      <c r="AU54" s="109" t="str">
        <f>P54</f>
        <v>60-120 ثانية</v>
      </c>
      <c r="AV54" s="107"/>
      <c r="AX54" s="80" t="str">
        <f>G54</f>
        <v>Leg press</v>
      </c>
      <c r="AY54" s="83">
        <v>4</v>
      </c>
      <c r="AZ54" s="102" t="str">
        <f>M54</f>
        <v>6-12</v>
      </c>
      <c r="BA54" s="73"/>
      <c r="BB54" s="76"/>
      <c r="BC54" s="149" t="str">
        <f>P54</f>
        <v>60-120 ثانية</v>
      </c>
      <c r="BD54" s="107"/>
      <c r="BE54" s="138"/>
      <c r="BF54" s="80" t="str">
        <f t="shared" ref="BF54:BF57" si="272">G54</f>
        <v>Leg press</v>
      </c>
      <c r="BG54" s="83">
        <v>4</v>
      </c>
      <c r="BH54" s="102" t="str">
        <f t="shared" ref="BH54:BH57" si="273">M54</f>
        <v>6-12</v>
      </c>
      <c r="BI54" s="169"/>
      <c r="BJ54" s="164"/>
      <c r="BK54" s="149" t="str">
        <f t="shared" ref="BK54:BK57" si="274">P54</f>
        <v>60-120 ثانية</v>
      </c>
      <c r="BL54" s="107"/>
      <c r="BM54" s="82"/>
      <c r="BN54" s="80" t="str">
        <f t="shared" ref="BN54:BN57" si="275">G54</f>
        <v>Leg press</v>
      </c>
      <c r="BO54" s="83">
        <v>4</v>
      </c>
      <c r="BP54" s="102" t="str">
        <f t="shared" ref="BP54:BP57" si="276">M54</f>
        <v>6-12</v>
      </c>
      <c r="BQ54" s="169"/>
      <c r="BR54" s="164"/>
      <c r="BS54" s="149" t="str">
        <f t="shared" ref="BS54:BS57" si="277">P54</f>
        <v>60-120 ثانية</v>
      </c>
      <c r="BT54" s="107"/>
      <c r="BU54" s="82"/>
      <c r="BV54" s="80" t="str">
        <f t="shared" ref="BV54:BV57" si="278">G54</f>
        <v>Leg press</v>
      </c>
      <c r="BW54" s="83">
        <v>4</v>
      </c>
      <c r="BX54" s="102" t="str">
        <f t="shared" ref="BX54:BX57" si="279">M54</f>
        <v>6-12</v>
      </c>
      <c r="BY54" s="169"/>
      <c r="BZ54" s="164"/>
      <c r="CA54" s="149" t="str">
        <f t="shared" ref="CA54:CA57" si="280">P54</f>
        <v>60-120 ثانية</v>
      </c>
      <c r="CB54" s="107"/>
      <c r="CC54" s="82"/>
      <c r="CD54" s="80" t="str">
        <f t="shared" ref="CD54:CD57" si="281">G54</f>
        <v>Leg press</v>
      </c>
      <c r="CE54" s="83">
        <v>4</v>
      </c>
      <c r="CF54" s="102" t="str">
        <f t="shared" ref="CF54:CF57" si="282">M54</f>
        <v>6-12</v>
      </c>
      <c r="CG54" s="169"/>
      <c r="CH54" s="164"/>
      <c r="CI54" s="149" t="str">
        <f t="shared" ref="CI54:CI57" si="283">P54</f>
        <v>60-120 ثانية</v>
      </c>
      <c r="CJ54" s="107"/>
      <c r="CK54" s="82"/>
      <c r="CL54" s="80" t="str">
        <f t="shared" ref="CL54:CL57" si="284">G54</f>
        <v>Leg press</v>
      </c>
      <c r="CM54" s="83">
        <v>4</v>
      </c>
      <c r="CN54" s="102" t="str">
        <f t="shared" ref="CN54:CN57" si="285">M54</f>
        <v>6-12</v>
      </c>
      <c r="CO54" s="169"/>
      <c r="CP54" s="164"/>
      <c r="CQ54" s="149" t="str">
        <f t="shared" ref="CQ54:CQ57" si="286">P54</f>
        <v>60-120 ثانية</v>
      </c>
      <c r="CR54" s="107"/>
      <c r="CS54" s="137"/>
      <c r="CT54" s="80" t="str">
        <f t="shared" si="256"/>
        <v>Leg press</v>
      </c>
      <c r="CU54" s="95">
        <v>2</v>
      </c>
      <c r="CV54" s="163"/>
      <c r="CW54" s="164"/>
      <c r="CX54" s="254"/>
      <c r="CY54" s="138"/>
    </row>
    <row r="55" spans="1:136" ht="26.25" customHeight="1">
      <c r="A55" s="122">
        <v>4</v>
      </c>
      <c r="B55" s="188"/>
      <c r="C55" s="188"/>
      <c r="D55" s="122">
        <v>5</v>
      </c>
      <c r="E55" s="122" t="s">
        <v>15</v>
      </c>
      <c r="F55" s="123" t="str">
        <f>INDEX(Table_Name[Name list],MATCH(E55,Table_Name[category],0))</f>
        <v>البطات[التمرين]</v>
      </c>
      <c r="G55" s="124" t="s">
        <v>123</v>
      </c>
      <c r="H55" s="95" t="str">
        <f>INDEX(Links[الرابط],MATCH(G55,Links[التمرين],0))</f>
        <v>https://www.youtube.com/watch?v=KxEYX_cuesM&amp;list=PLyqKj7LwU2RtQyn5wWMJbD0rCV-cSkiK3&amp;index=2</v>
      </c>
      <c r="I55" s="125" t="str">
        <f t="shared" ref="I55" si="287">HYPERLINK(H55,"Watch")</f>
        <v>Watch</v>
      </c>
      <c r="K55" s="80" t="str">
        <f t="shared" ref="K55" si="288">G55</f>
        <v>Calves on leg press</v>
      </c>
      <c r="L55" s="83">
        <v>3</v>
      </c>
      <c r="M55" s="103" t="s">
        <v>812</v>
      </c>
      <c r="N55" s="75"/>
      <c r="O55" s="78"/>
      <c r="P55" s="109" t="s">
        <v>771</v>
      </c>
      <c r="Q55" s="94"/>
      <c r="R55" s="80" t="str">
        <f t="shared" ref="R55" si="289">G55</f>
        <v>Calves on leg press</v>
      </c>
      <c r="S55" s="83">
        <v>3</v>
      </c>
      <c r="T55" s="102" t="str">
        <f t="shared" ref="T55" si="290">M55</f>
        <v>6-12</v>
      </c>
      <c r="U55" s="75"/>
      <c r="V55" s="78"/>
      <c r="W55" s="109" t="str">
        <f t="shared" ref="W55" si="291">P55</f>
        <v>60-120 ثانية</v>
      </c>
      <c r="X55" s="107"/>
      <c r="Z55" s="80" t="str">
        <f t="shared" ref="Z55" si="292">G55</f>
        <v>Calves on leg press</v>
      </c>
      <c r="AA55" s="83">
        <v>3</v>
      </c>
      <c r="AB55" s="102" t="str">
        <f t="shared" ref="AB55" si="293">M55</f>
        <v>6-12</v>
      </c>
      <c r="AC55" s="75"/>
      <c r="AD55" s="78"/>
      <c r="AE55" s="109" t="str">
        <f t="shared" ref="AE55" si="294">P55</f>
        <v>60-120 ثانية</v>
      </c>
      <c r="AF55" s="107"/>
      <c r="AH55" s="80" t="str">
        <f t="shared" ref="AH55" si="295">G55</f>
        <v>Calves on leg press</v>
      </c>
      <c r="AI55" s="83">
        <v>4</v>
      </c>
      <c r="AJ55" s="102" t="str">
        <f t="shared" ref="AJ55" si="296">M55</f>
        <v>6-12</v>
      </c>
      <c r="AK55" s="75"/>
      <c r="AL55" s="78"/>
      <c r="AM55" s="109" t="str">
        <f t="shared" ref="AM55" si="297">P55</f>
        <v>60-120 ثانية</v>
      </c>
      <c r="AN55" s="107"/>
      <c r="AP55" s="80" t="str">
        <f t="shared" ref="AP55" si="298">G55</f>
        <v>Calves on leg press</v>
      </c>
      <c r="AQ55" s="83">
        <v>4</v>
      </c>
      <c r="AR55" s="102" t="str">
        <f t="shared" ref="AR55" si="299">M55</f>
        <v>6-12</v>
      </c>
      <c r="AS55" s="75"/>
      <c r="AT55" s="78"/>
      <c r="AU55" s="109" t="str">
        <f t="shared" ref="AU55" si="300">P55</f>
        <v>60-120 ثانية</v>
      </c>
      <c r="AV55" s="107"/>
      <c r="AX55" s="80" t="str">
        <f t="shared" ref="AX55" si="301">G55</f>
        <v>Calves on leg press</v>
      </c>
      <c r="AY55" s="83">
        <v>4</v>
      </c>
      <c r="AZ55" s="102" t="str">
        <f t="shared" ref="AZ55" si="302">M55</f>
        <v>6-12</v>
      </c>
      <c r="BA55" s="75"/>
      <c r="BB55" s="78"/>
      <c r="BC55" s="149" t="str">
        <f t="shared" ref="BC55" si="303">P55</f>
        <v>60-120 ثانية</v>
      </c>
      <c r="BD55" s="107"/>
      <c r="BE55" s="138"/>
      <c r="BF55" s="80" t="str">
        <f t="shared" ref="BF55" si="304">G55</f>
        <v>Calves on leg press</v>
      </c>
      <c r="BG55" s="83">
        <v>4</v>
      </c>
      <c r="BH55" s="102" t="str">
        <f t="shared" ref="BH55" si="305">M55</f>
        <v>6-12</v>
      </c>
      <c r="BI55" s="167"/>
      <c r="BJ55" s="168"/>
      <c r="BK55" s="149" t="str">
        <f t="shared" ref="BK55" si="306">P55</f>
        <v>60-120 ثانية</v>
      </c>
      <c r="BL55" s="107"/>
      <c r="BM55" s="82"/>
      <c r="BN55" s="80" t="str">
        <f t="shared" ref="BN55" si="307">G55</f>
        <v>Calves on leg press</v>
      </c>
      <c r="BO55" s="83">
        <v>4</v>
      </c>
      <c r="BP55" s="102" t="str">
        <f t="shared" ref="BP55" si="308">M55</f>
        <v>6-12</v>
      </c>
      <c r="BQ55" s="167"/>
      <c r="BR55" s="168"/>
      <c r="BS55" s="149" t="str">
        <f t="shared" ref="BS55" si="309">P55</f>
        <v>60-120 ثانية</v>
      </c>
      <c r="BT55" s="107"/>
      <c r="BU55" s="82"/>
      <c r="BV55" s="80" t="str">
        <f t="shared" ref="BV55" si="310">G55</f>
        <v>Calves on leg press</v>
      </c>
      <c r="BW55" s="83">
        <v>4</v>
      </c>
      <c r="BX55" s="102" t="str">
        <f t="shared" ref="BX55" si="311">M55</f>
        <v>6-12</v>
      </c>
      <c r="BY55" s="167"/>
      <c r="BZ55" s="168"/>
      <c r="CA55" s="149" t="str">
        <f t="shared" ref="CA55" si="312">P55</f>
        <v>60-120 ثانية</v>
      </c>
      <c r="CB55" s="107"/>
      <c r="CC55" s="82"/>
      <c r="CD55" s="80" t="str">
        <f t="shared" ref="CD55" si="313">G55</f>
        <v>Calves on leg press</v>
      </c>
      <c r="CE55" s="83">
        <v>4</v>
      </c>
      <c r="CF55" s="102" t="str">
        <f t="shared" ref="CF55" si="314">M55</f>
        <v>6-12</v>
      </c>
      <c r="CG55" s="167"/>
      <c r="CH55" s="168"/>
      <c r="CI55" s="149" t="str">
        <f t="shared" ref="CI55" si="315">P55</f>
        <v>60-120 ثانية</v>
      </c>
      <c r="CJ55" s="107"/>
      <c r="CK55" s="82"/>
      <c r="CL55" s="80" t="str">
        <f t="shared" ref="CL55" si="316">G55</f>
        <v>Calves on leg press</v>
      </c>
      <c r="CM55" s="83">
        <v>4</v>
      </c>
      <c r="CN55" s="102" t="str">
        <f t="shared" ref="CN55" si="317">M55</f>
        <v>6-12</v>
      </c>
      <c r="CO55" s="167"/>
      <c r="CP55" s="168"/>
      <c r="CQ55" s="149" t="str">
        <f t="shared" ref="CQ55" si="318">P55</f>
        <v>60-120 ثانية</v>
      </c>
      <c r="CR55" s="107"/>
      <c r="CS55" s="137"/>
      <c r="CT55" s="80" t="str">
        <f t="shared" ref="CT55" si="319">G55</f>
        <v>Calves on leg press</v>
      </c>
      <c r="CU55" s="166">
        <v>2</v>
      </c>
      <c r="CV55" s="167"/>
      <c r="CW55" s="168"/>
      <c r="CX55" s="254"/>
      <c r="CY55" s="138"/>
    </row>
    <row r="56" spans="1:136" ht="26.25" customHeight="1">
      <c r="A56" s="122">
        <v>5</v>
      </c>
      <c r="B56" s="188"/>
      <c r="C56" s="188"/>
      <c r="D56" s="122">
        <v>4</v>
      </c>
      <c r="E56" s="122" t="s">
        <v>83</v>
      </c>
      <c r="F56" s="123" t="str">
        <f>INDEX(Table_Name[Name list],MATCH(E56,Table_Name[category],0))</f>
        <v>رجلين_خلفي_عزل[التمرين]</v>
      </c>
      <c r="G56" s="124" t="s">
        <v>20</v>
      </c>
      <c r="H56" s="95" t="str">
        <f>INDEX(Links[الرابط],MATCH(G56,Links[التمرين],0))</f>
        <v>https://www.youtube.com/watch?v=n5WDXD_mpVY&amp;list=PLyqKj7LwU2Rvx_O313dzJNFKPiEqRMWiV&amp;index=6</v>
      </c>
      <c r="I56" s="125" t="str">
        <f t="shared" ref="I56:I57" si="320">HYPERLINK(H56,"Watch")</f>
        <v>Watch</v>
      </c>
      <c r="K56" s="80" t="str">
        <f t="shared" si="240"/>
        <v>Lying leg curl</v>
      </c>
      <c r="L56" s="83">
        <v>3</v>
      </c>
      <c r="M56" s="103" t="s">
        <v>812</v>
      </c>
      <c r="N56" s="74"/>
      <c r="O56" s="77"/>
      <c r="P56" s="109" t="s">
        <v>771</v>
      </c>
      <c r="Q56" s="94"/>
      <c r="R56" s="80" t="str">
        <f t="shared" si="241"/>
        <v>Lying leg curl</v>
      </c>
      <c r="S56" s="83">
        <v>3</v>
      </c>
      <c r="T56" s="102" t="str">
        <f t="shared" ref="T56:T57" si="321">M56</f>
        <v>6-12</v>
      </c>
      <c r="U56" s="74"/>
      <c r="V56" s="77"/>
      <c r="W56" s="109" t="str">
        <f t="shared" ref="W56:W57" si="322">P56</f>
        <v>60-120 ثانية</v>
      </c>
      <c r="X56" s="107"/>
      <c r="Z56" s="80" t="str">
        <f t="shared" si="244"/>
        <v>Lying leg curl</v>
      </c>
      <c r="AA56" s="83">
        <v>3</v>
      </c>
      <c r="AB56" s="102" t="str">
        <f t="shared" ref="AB56:AB57" si="323">M56</f>
        <v>6-12</v>
      </c>
      <c r="AC56" s="74"/>
      <c r="AD56" s="77"/>
      <c r="AE56" s="109" t="str">
        <f t="shared" ref="AE56:AE57" si="324">P56</f>
        <v>60-120 ثانية</v>
      </c>
      <c r="AF56" s="107"/>
      <c r="AH56" s="80" t="str">
        <f t="shared" si="247"/>
        <v>Lying leg curl</v>
      </c>
      <c r="AI56" s="83">
        <v>3</v>
      </c>
      <c r="AJ56" s="102" t="str">
        <f t="shared" ref="AJ56:AJ57" si="325">M56</f>
        <v>6-12</v>
      </c>
      <c r="AK56" s="74"/>
      <c r="AL56" s="77"/>
      <c r="AM56" s="109" t="str">
        <f t="shared" ref="AM56:AM57" si="326">P56</f>
        <v>60-120 ثانية</v>
      </c>
      <c r="AN56" s="107"/>
      <c r="AP56" s="80" t="str">
        <f t="shared" si="250"/>
        <v>Lying leg curl</v>
      </c>
      <c r="AQ56" s="83">
        <v>3</v>
      </c>
      <c r="AR56" s="102" t="str">
        <f t="shared" ref="AR56:AR57" si="327">M56</f>
        <v>6-12</v>
      </c>
      <c r="AS56" s="74"/>
      <c r="AT56" s="77"/>
      <c r="AU56" s="109" t="str">
        <f t="shared" ref="AU56:AU57" si="328">P56</f>
        <v>60-120 ثانية</v>
      </c>
      <c r="AV56" s="107"/>
      <c r="AX56" s="80" t="str">
        <f t="shared" ref="AX56:AX57" si="329">G56</f>
        <v>Lying leg curl</v>
      </c>
      <c r="AY56" s="83">
        <v>3</v>
      </c>
      <c r="AZ56" s="102" t="str">
        <f t="shared" ref="AZ56:AZ57" si="330">M56</f>
        <v>6-12</v>
      </c>
      <c r="BA56" s="74"/>
      <c r="BB56" s="77"/>
      <c r="BC56" s="149" t="str">
        <f t="shared" ref="BC56:BC57" si="331">P56</f>
        <v>60-120 ثانية</v>
      </c>
      <c r="BD56" s="107"/>
      <c r="BE56" s="138"/>
      <c r="BF56" s="80" t="str">
        <f t="shared" si="272"/>
        <v>Lying leg curl</v>
      </c>
      <c r="BG56" s="83">
        <v>3</v>
      </c>
      <c r="BH56" s="102" t="str">
        <f t="shared" si="273"/>
        <v>6-12</v>
      </c>
      <c r="BI56" s="167"/>
      <c r="BJ56" s="168"/>
      <c r="BK56" s="149" t="str">
        <f t="shared" si="274"/>
        <v>60-120 ثانية</v>
      </c>
      <c r="BL56" s="107"/>
      <c r="BM56" s="82"/>
      <c r="BN56" s="80" t="str">
        <f t="shared" si="275"/>
        <v>Lying leg curl</v>
      </c>
      <c r="BO56" s="83">
        <v>3</v>
      </c>
      <c r="BP56" s="102" t="str">
        <f t="shared" si="276"/>
        <v>6-12</v>
      </c>
      <c r="BQ56" s="167"/>
      <c r="BR56" s="168"/>
      <c r="BS56" s="149" t="str">
        <f t="shared" si="277"/>
        <v>60-120 ثانية</v>
      </c>
      <c r="BT56" s="107"/>
      <c r="BU56" s="82"/>
      <c r="BV56" s="80" t="str">
        <f t="shared" si="278"/>
        <v>Lying leg curl</v>
      </c>
      <c r="BW56" s="83">
        <v>3</v>
      </c>
      <c r="BX56" s="102" t="str">
        <f t="shared" si="279"/>
        <v>6-12</v>
      </c>
      <c r="BY56" s="167"/>
      <c r="BZ56" s="168"/>
      <c r="CA56" s="149" t="str">
        <f t="shared" si="280"/>
        <v>60-120 ثانية</v>
      </c>
      <c r="CB56" s="107"/>
      <c r="CC56" s="82"/>
      <c r="CD56" s="80" t="str">
        <f t="shared" si="281"/>
        <v>Lying leg curl</v>
      </c>
      <c r="CE56" s="83">
        <v>3</v>
      </c>
      <c r="CF56" s="102" t="str">
        <f t="shared" si="282"/>
        <v>6-12</v>
      </c>
      <c r="CG56" s="167"/>
      <c r="CH56" s="168"/>
      <c r="CI56" s="149" t="str">
        <f t="shared" si="283"/>
        <v>60-120 ثانية</v>
      </c>
      <c r="CJ56" s="107"/>
      <c r="CK56" s="82"/>
      <c r="CL56" s="80" t="str">
        <f t="shared" si="284"/>
        <v>Lying leg curl</v>
      </c>
      <c r="CM56" s="83">
        <v>3</v>
      </c>
      <c r="CN56" s="102" t="str">
        <f t="shared" si="285"/>
        <v>6-12</v>
      </c>
      <c r="CO56" s="167"/>
      <c r="CP56" s="168"/>
      <c r="CQ56" s="149" t="str">
        <f t="shared" si="286"/>
        <v>60-120 ثانية</v>
      </c>
      <c r="CR56" s="107"/>
      <c r="CS56" s="137"/>
      <c r="CT56" s="80" t="str">
        <f t="shared" si="256"/>
        <v>Lying leg curl</v>
      </c>
      <c r="CU56" s="166">
        <v>2</v>
      </c>
      <c r="CV56" s="167"/>
      <c r="CW56" s="168"/>
      <c r="CX56" s="254"/>
      <c r="CY56" s="138"/>
    </row>
    <row r="57" spans="1:136" ht="26.25" customHeight="1">
      <c r="A57" s="122">
        <v>6</v>
      </c>
      <c r="B57" s="188"/>
      <c r="C57" s="188"/>
      <c r="D57" s="122">
        <v>6</v>
      </c>
      <c r="E57" s="122" t="s">
        <v>13</v>
      </c>
      <c r="F57" s="123" t="str">
        <f>INDEX(Table_Name[Name list],MATCH(E57,Table_Name[category],0))</f>
        <v>بطن[التمرين]</v>
      </c>
      <c r="G57" s="124" t="s">
        <v>41</v>
      </c>
      <c r="H57" s="95" t="str">
        <f>INDEX(Links[الرابط],MATCH(G57,Links[التمرين],0))</f>
        <v>https://www.youtube.com/watch?v=6GMKPQVERzw&amp;list=PLyqKj7LwU2RvTgEW_QlCCjtIL5d_KP_-I&amp;index=6</v>
      </c>
      <c r="I57" s="125" t="str">
        <f t="shared" si="320"/>
        <v>Watch</v>
      </c>
      <c r="K57" s="80" t="str">
        <f t="shared" si="240"/>
        <v>Rope crunch</v>
      </c>
      <c r="L57" s="83">
        <v>3</v>
      </c>
      <c r="M57" s="84" t="s">
        <v>812</v>
      </c>
      <c r="N57" s="75"/>
      <c r="O57" s="78"/>
      <c r="P57" s="109" t="s">
        <v>771</v>
      </c>
      <c r="Q57" s="94"/>
      <c r="R57" s="80" t="str">
        <f t="shared" si="241"/>
        <v>Rope crunch</v>
      </c>
      <c r="S57" s="83">
        <v>3</v>
      </c>
      <c r="T57" s="102" t="str">
        <f t="shared" si="321"/>
        <v>6-12</v>
      </c>
      <c r="U57" s="75"/>
      <c r="V57" s="78"/>
      <c r="W57" s="109" t="str">
        <f t="shared" si="322"/>
        <v>60-120 ثانية</v>
      </c>
      <c r="X57" s="107"/>
      <c r="Z57" s="80" t="str">
        <f t="shared" si="244"/>
        <v>Rope crunch</v>
      </c>
      <c r="AA57" s="83">
        <v>3</v>
      </c>
      <c r="AB57" s="102" t="str">
        <f t="shared" si="323"/>
        <v>6-12</v>
      </c>
      <c r="AC57" s="75"/>
      <c r="AD57" s="78"/>
      <c r="AE57" s="109" t="str">
        <f t="shared" si="324"/>
        <v>60-120 ثانية</v>
      </c>
      <c r="AF57" s="107"/>
      <c r="AH57" s="80" t="str">
        <f t="shared" si="247"/>
        <v>Rope crunch</v>
      </c>
      <c r="AI57" s="83">
        <v>3</v>
      </c>
      <c r="AJ57" s="102" t="str">
        <f t="shared" si="325"/>
        <v>6-12</v>
      </c>
      <c r="AK57" s="75"/>
      <c r="AL57" s="78"/>
      <c r="AM57" s="109" t="str">
        <f t="shared" si="326"/>
        <v>60-120 ثانية</v>
      </c>
      <c r="AN57" s="107"/>
      <c r="AP57" s="80" t="str">
        <f t="shared" si="250"/>
        <v>Rope crunch</v>
      </c>
      <c r="AQ57" s="83">
        <v>3</v>
      </c>
      <c r="AR57" s="102" t="str">
        <f t="shared" si="327"/>
        <v>6-12</v>
      </c>
      <c r="AS57" s="75"/>
      <c r="AT57" s="78"/>
      <c r="AU57" s="109" t="str">
        <f t="shared" si="328"/>
        <v>60-120 ثانية</v>
      </c>
      <c r="AV57" s="107"/>
      <c r="AX57" s="80" t="str">
        <f t="shared" si="329"/>
        <v>Rope crunch</v>
      </c>
      <c r="AY57" s="83">
        <v>3</v>
      </c>
      <c r="AZ57" s="102" t="str">
        <f t="shared" si="330"/>
        <v>6-12</v>
      </c>
      <c r="BA57" s="75"/>
      <c r="BB57" s="78"/>
      <c r="BC57" s="149" t="str">
        <f t="shared" si="331"/>
        <v>60-120 ثانية</v>
      </c>
      <c r="BD57" s="107"/>
      <c r="BE57" s="138"/>
      <c r="BF57" s="80" t="str">
        <f t="shared" si="272"/>
        <v>Rope crunch</v>
      </c>
      <c r="BG57" s="83">
        <v>3</v>
      </c>
      <c r="BH57" s="102" t="str">
        <f t="shared" si="273"/>
        <v>6-12</v>
      </c>
      <c r="BI57" s="167"/>
      <c r="BJ57" s="168"/>
      <c r="BK57" s="149" t="str">
        <f t="shared" si="274"/>
        <v>60-120 ثانية</v>
      </c>
      <c r="BL57" s="107"/>
      <c r="BM57" s="82"/>
      <c r="BN57" s="80" t="str">
        <f t="shared" si="275"/>
        <v>Rope crunch</v>
      </c>
      <c r="BO57" s="83">
        <v>3</v>
      </c>
      <c r="BP57" s="102" t="str">
        <f t="shared" si="276"/>
        <v>6-12</v>
      </c>
      <c r="BQ57" s="167"/>
      <c r="BR57" s="168"/>
      <c r="BS57" s="149" t="str">
        <f t="shared" si="277"/>
        <v>60-120 ثانية</v>
      </c>
      <c r="BT57" s="107"/>
      <c r="BU57" s="82"/>
      <c r="BV57" s="80" t="str">
        <f t="shared" si="278"/>
        <v>Rope crunch</v>
      </c>
      <c r="BW57" s="83">
        <v>3</v>
      </c>
      <c r="BX57" s="102" t="str">
        <f t="shared" si="279"/>
        <v>6-12</v>
      </c>
      <c r="BY57" s="167"/>
      <c r="BZ57" s="168"/>
      <c r="CA57" s="149" t="str">
        <f t="shared" si="280"/>
        <v>60-120 ثانية</v>
      </c>
      <c r="CB57" s="107"/>
      <c r="CC57" s="82"/>
      <c r="CD57" s="80" t="str">
        <f t="shared" si="281"/>
        <v>Rope crunch</v>
      </c>
      <c r="CE57" s="83">
        <v>3</v>
      </c>
      <c r="CF57" s="102" t="str">
        <f t="shared" si="282"/>
        <v>6-12</v>
      </c>
      <c r="CG57" s="167"/>
      <c r="CH57" s="168"/>
      <c r="CI57" s="149" t="str">
        <f t="shared" si="283"/>
        <v>60-120 ثانية</v>
      </c>
      <c r="CJ57" s="107"/>
      <c r="CK57" s="82"/>
      <c r="CL57" s="80" t="str">
        <f t="shared" si="284"/>
        <v>Rope crunch</v>
      </c>
      <c r="CM57" s="83">
        <v>3</v>
      </c>
      <c r="CN57" s="102" t="str">
        <f t="shared" si="285"/>
        <v>6-12</v>
      </c>
      <c r="CO57" s="167"/>
      <c r="CP57" s="168"/>
      <c r="CQ57" s="149" t="str">
        <f t="shared" si="286"/>
        <v>60-120 ثانية</v>
      </c>
      <c r="CR57" s="107"/>
      <c r="CS57" s="137"/>
      <c r="CT57" s="80" t="str">
        <f t="shared" si="256"/>
        <v>Rope crunch</v>
      </c>
      <c r="CU57" s="166">
        <v>2</v>
      </c>
      <c r="CV57" s="167"/>
      <c r="CW57" s="168"/>
      <c r="CX57" s="254"/>
      <c r="CY57" s="138"/>
    </row>
    <row r="58" spans="1:136" ht="18" customHeight="1">
      <c r="D58" s="81"/>
      <c r="E58" s="81"/>
      <c r="F58" s="81"/>
      <c r="G58" s="130"/>
      <c r="H58" s="130"/>
      <c r="I58" s="134"/>
      <c r="L58" s="81"/>
      <c r="M58" s="92"/>
      <c r="N58" s="92"/>
      <c r="O58" s="81"/>
      <c r="P58" s="94"/>
      <c r="Q58" s="94"/>
      <c r="R58" s="94"/>
      <c r="S58" s="81"/>
      <c r="T58" s="92"/>
      <c r="U58" s="92"/>
      <c r="V58" s="81"/>
      <c r="W58" s="81"/>
      <c r="X58" s="81"/>
      <c r="Y58" s="81"/>
      <c r="Z58" s="92"/>
      <c r="AA58" s="81"/>
      <c r="AB58" s="81"/>
      <c r="AC58" s="81"/>
      <c r="AD58" s="81"/>
      <c r="AG58" s="81"/>
      <c r="AH58" s="92"/>
      <c r="AI58" s="81"/>
      <c r="AJ58" s="81"/>
      <c r="AK58" s="81"/>
      <c r="AM58" s="81"/>
      <c r="AN58" s="92"/>
      <c r="AO58" s="92"/>
      <c r="AP58" s="81"/>
      <c r="AQ58" s="81"/>
      <c r="AR58" s="81"/>
      <c r="AX58" s="81"/>
      <c r="AY58" s="81"/>
      <c r="AZ58" s="81"/>
      <c r="BF58" s="94"/>
      <c r="BG58" s="81"/>
      <c r="BH58" s="81"/>
      <c r="BI58" s="81"/>
      <c r="BJ58" s="81"/>
      <c r="BK58" s="81"/>
      <c r="BL58" s="81"/>
      <c r="BM58" s="81"/>
      <c r="BN58" s="81"/>
      <c r="BO58" s="81"/>
      <c r="BP58" s="81"/>
      <c r="BQ58" s="81"/>
      <c r="BR58" s="81"/>
      <c r="BS58" s="82"/>
      <c r="BT58" s="82"/>
      <c r="BU58" s="81"/>
      <c r="BV58" s="81"/>
      <c r="BW58" s="81"/>
      <c r="BX58" s="81"/>
      <c r="BY58" s="81"/>
      <c r="BZ58" s="82"/>
      <c r="CA58" s="81"/>
      <c r="CB58" s="81"/>
      <c r="CC58" s="81"/>
      <c r="CD58" s="81"/>
      <c r="CE58" s="81"/>
      <c r="CF58" s="81"/>
      <c r="CG58" s="82"/>
      <c r="CH58" s="82"/>
      <c r="CI58" s="82"/>
      <c r="CJ58" s="82"/>
      <c r="CK58" s="82"/>
      <c r="CL58" s="81"/>
      <c r="CM58" s="81"/>
      <c r="CN58" s="81"/>
      <c r="CO58" s="82"/>
      <c r="CP58" s="82"/>
      <c r="CQ58" s="82"/>
      <c r="CR58" s="82"/>
      <c r="EC58" s="81"/>
      <c r="ED58" s="92"/>
      <c r="EE58" s="92"/>
      <c r="EF58" s="135"/>
    </row>
    <row r="59" spans="1:136" ht="21" customHeight="1">
      <c r="D59" s="266" t="s">
        <v>22</v>
      </c>
      <c r="E59" s="266"/>
      <c r="F59" s="266"/>
      <c r="G59" s="266"/>
      <c r="H59" s="266"/>
      <c r="I59" s="266"/>
      <c r="BF59" s="82"/>
      <c r="BH59" s="82"/>
      <c r="BI59" s="82"/>
      <c r="BJ59" s="82"/>
      <c r="BK59" s="82"/>
      <c r="BL59" s="82"/>
      <c r="BM59" s="82"/>
      <c r="BN59" s="82"/>
      <c r="BP59" s="82"/>
      <c r="BQ59" s="82"/>
      <c r="BR59" s="82"/>
      <c r="BS59" s="82"/>
      <c r="BT59" s="82"/>
      <c r="BU59" s="82"/>
      <c r="BV59" s="82"/>
      <c r="BX59" s="82"/>
      <c r="BY59" s="82"/>
      <c r="BZ59" s="82"/>
      <c r="CA59" s="82"/>
      <c r="CB59" s="82"/>
      <c r="CC59" s="82"/>
      <c r="CD59" s="82"/>
      <c r="CF59" s="82"/>
      <c r="CG59" s="82"/>
      <c r="CH59" s="82"/>
      <c r="CI59" s="82"/>
      <c r="CJ59" s="82"/>
      <c r="CK59" s="82"/>
      <c r="CL59" s="82"/>
      <c r="CN59" s="82"/>
      <c r="CO59" s="82"/>
      <c r="CP59" s="82"/>
      <c r="CQ59" s="82"/>
      <c r="CR59" s="82"/>
    </row>
    <row r="60" spans="1:136" ht="12" customHeight="1">
      <c r="D60" s="117"/>
      <c r="E60" s="117"/>
      <c r="F60" s="117"/>
      <c r="G60" s="117"/>
      <c r="H60" s="112"/>
      <c r="I60" s="85"/>
      <c r="O60" s="85"/>
      <c r="P60" s="87"/>
      <c r="Q60" s="85"/>
      <c r="R60" s="87"/>
      <c r="T60" s="117"/>
      <c r="U60" s="117"/>
      <c r="V60" s="85"/>
      <c r="W60" s="87"/>
      <c r="X60" s="87"/>
      <c r="Y60" s="117"/>
      <c r="Z60" s="117"/>
      <c r="AB60" s="117"/>
      <c r="AC60" s="112"/>
      <c r="AD60" s="112"/>
      <c r="AE60" s="117"/>
      <c r="AF60" s="112"/>
      <c r="AG60" s="117"/>
      <c r="AH60" s="117"/>
      <c r="BF60" s="87"/>
      <c r="BH60" s="117"/>
      <c r="BI60" s="117"/>
      <c r="BJ60" s="85"/>
      <c r="BK60" s="87"/>
      <c r="BL60" s="87"/>
      <c r="BM60" s="117"/>
      <c r="BN60" s="117"/>
      <c r="BP60" s="117"/>
      <c r="BQ60" s="112"/>
      <c r="BR60" s="112"/>
      <c r="BS60" s="117"/>
      <c r="BT60" s="112"/>
      <c r="BU60" s="117"/>
      <c r="BV60" s="117"/>
      <c r="BX60" s="82"/>
      <c r="BY60" s="82"/>
      <c r="BZ60" s="82"/>
      <c r="CA60" s="82"/>
      <c r="CB60" s="82"/>
      <c r="CC60" s="82"/>
      <c r="CD60" s="82"/>
      <c r="CF60" s="82"/>
      <c r="CG60" s="82"/>
      <c r="CH60" s="82"/>
      <c r="CI60" s="82"/>
      <c r="CJ60" s="82"/>
      <c r="CK60" s="82"/>
      <c r="CL60" s="82"/>
      <c r="CN60" s="82"/>
      <c r="CO60" s="82"/>
      <c r="CP60" s="82"/>
      <c r="CQ60" s="82"/>
      <c r="CR60" s="82"/>
    </row>
    <row r="61" spans="1:136" ht="12" customHeight="1">
      <c r="D61" s="117"/>
      <c r="E61" s="117"/>
      <c r="F61" s="117"/>
      <c r="G61" s="117"/>
      <c r="H61" s="112"/>
      <c r="I61" s="85"/>
      <c r="O61" s="85"/>
      <c r="P61" s="87"/>
      <c r="Q61" s="85"/>
      <c r="R61" s="87"/>
      <c r="T61" s="117"/>
      <c r="U61" s="117"/>
      <c r="V61" s="85"/>
      <c r="W61" s="87"/>
      <c r="X61" s="87"/>
      <c r="Y61" s="117"/>
      <c r="Z61" s="117"/>
      <c r="AB61" s="117"/>
      <c r="AC61" s="112"/>
      <c r="AD61" s="112"/>
      <c r="AE61" s="117"/>
      <c r="AF61" s="112"/>
      <c r="AG61" s="117"/>
      <c r="AH61" s="117"/>
      <c r="BF61" s="87"/>
      <c r="BH61" s="117"/>
      <c r="BI61" s="117"/>
      <c r="BJ61" s="85"/>
      <c r="BK61" s="87"/>
      <c r="BL61" s="87"/>
      <c r="BM61" s="117"/>
      <c r="BN61" s="117"/>
      <c r="BP61" s="117"/>
      <c r="BQ61" s="112"/>
      <c r="BR61" s="112"/>
      <c r="BS61" s="117"/>
      <c r="BT61" s="112"/>
      <c r="BU61" s="117"/>
      <c r="BV61" s="117"/>
      <c r="BX61" s="82"/>
      <c r="BY61" s="82"/>
      <c r="BZ61" s="82"/>
      <c r="CA61" s="82"/>
      <c r="CB61" s="82"/>
      <c r="CC61" s="82"/>
      <c r="CD61" s="82"/>
      <c r="CF61" s="82"/>
      <c r="CG61" s="82"/>
      <c r="CH61" s="82"/>
      <c r="CI61" s="82"/>
      <c r="CJ61" s="82"/>
      <c r="CK61" s="82"/>
      <c r="CL61" s="82"/>
      <c r="CN61" s="82"/>
      <c r="CO61" s="82"/>
      <c r="CP61" s="82"/>
      <c r="CQ61" s="82"/>
      <c r="CR61" s="82"/>
    </row>
    <row r="62" spans="1:136" ht="27" customHeight="1">
      <c r="D62" s="117"/>
      <c r="E62" s="117"/>
      <c r="F62" s="117"/>
      <c r="G62" s="117"/>
      <c r="H62" s="112"/>
      <c r="I62" s="85"/>
      <c r="O62" s="85"/>
      <c r="P62" s="87"/>
      <c r="Q62" s="85"/>
      <c r="R62" s="87"/>
      <c r="T62" s="117"/>
      <c r="U62" s="117"/>
      <c r="V62" s="85"/>
      <c r="W62" s="87"/>
      <c r="X62" s="87"/>
      <c r="Y62" s="117"/>
      <c r="Z62" s="117"/>
      <c r="AB62" s="117"/>
      <c r="AC62" s="112"/>
      <c r="AD62" s="112"/>
      <c r="AE62" s="117"/>
      <c r="AF62" s="112"/>
      <c r="AG62" s="117"/>
      <c r="AH62" s="117"/>
      <c r="BF62" s="87"/>
      <c r="BH62" s="117"/>
      <c r="BI62" s="117"/>
      <c r="BJ62" s="85"/>
      <c r="BK62" s="87"/>
      <c r="BL62" s="87"/>
      <c r="BM62" s="117"/>
      <c r="BN62" s="117"/>
      <c r="BP62" s="117"/>
      <c r="BQ62" s="112"/>
      <c r="BR62" s="112"/>
      <c r="BS62" s="117"/>
      <c r="BT62" s="112"/>
      <c r="BU62" s="117"/>
      <c r="BV62" s="117"/>
      <c r="BX62" s="82"/>
      <c r="BY62" s="82"/>
      <c r="BZ62" s="82"/>
      <c r="CA62" s="82"/>
      <c r="CB62" s="82"/>
      <c r="CC62" s="82"/>
      <c r="CD62" s="82"/>
      <c r="CF62" s="82"/>
      <c r="CG62" s="82"/>
      <c r="CH62" s="82"/>
      <c r="CI62" s="82"/>
      <c r="CJ62" s="82"/>
      <c r="CK62" s="82"/>
      <c r="CL62" s="82"/>
      <c r="CN62" s="82"/>
      <c r="CO62" s="82"/>
      <c r="CP62" s="82"/>
      <c r="CQ62" s="82"/>
      <c r="CR62" s="82"/>
    </row>
    <row r="63" spans="1:136" ht="9.9499999999999993" customHeight="1">
      <c r="D63" s="117"/>
      <c r="E63" s="117"/>
      <c r="F63" s="117"/>
      <c r="G63" s="117"/>
      <c r="H63" s="112"/>
      <c r="I63" s="85"/>
      <c r="O63" s="85"/>
      <c r="P63" s="87"/>
      <c r="Q63" s="85"/>
      <c r="R63" s="87"/>
      <c r="T63" s="117"/>
      <c r="U63" s="117"/>
      <c r="V63" s="85"/>
      <c r="W63" s="87"/>
      <c r="X63" s="87"/>
      <c r="Y63" s="117"/>
      <c r="Z63" s="117"/>
      <c r="AB63" s="117"/>
      <c r="AC63" s="112"/>
      <c r="AD63" s="112"/>
      <c r="AE63" s="117"/>
      <c r="AF63" s="112"/>
      <c r="AG63" s="117"/>
      <c r="AH63" s="117"/>
      <c r="BF63" s="87"/>
      <c r="BH63" s="117"/>
      <c r="BI63" s="117"/>
      <c r="BJ63" s="85"/>
      <c r="BK63" s="87"/>
      <c r="BL63" s="87"/>
      <c r="BM63" s="117"/>
      <c r="BN63" s="117"/>
      <c r="BP63" s="117"/>
      <c r="BQ63" s="112"/>
      <c r="BR63" s="112"/>
      <c r="BS63" s="117"/>
      <c r="BT63" s="112"/>
      <c r="BU63" s="117"/>
      <c r="BV63" s="117"/>
      <c r="BX63" s="82"/>
      <c r="BY63" s="82"/>
      <c r="BZ63" s="82"/>
      <c r="CA63" s="82"/>
      <c r="CB63" s="82"/>
      <c r="CC63" s="82"/>
      <c r="CD63" s="82"/>
      <c r="CF63" s="82"/>
      <c r="CG63" s="82"/>
      <c r="CH63" s="82"/>
      <c r="CI63" s="82"/>
      <c r="CJ63" s="82"/>
      <c r="CK63" s="82"/>
      <c r="CL63" s="82"/>
      <c r="CN63" s="82"/>
      <c r="CO63" s="82"/>
      <c r="CP63" s="82"/>
      <c r="CQ63" s="82"/>
      <c r="CR63" s="82"/>
    </row>
    <row r="64" spans="1:136" ht="9.9499999999999993" hidden="1" customHeight="1">
      <c r="D64" s="117"/>
      <c r="E64" s="117"/>
      <c r="F64" s="117"/>
      <c r="G64" s="117"/>
      <c r="H64" s="112"/>
      <c r="I64" s="85"/>
      <c r="O64" s="85"/>
      <c r="P64" s="87"/>
      <c r="Q64" s="85"/>
      <c r="R64" s="87"/>
      <c r="T64" s="117"/>
      <c r="U64" s="117"/>
      <c r="V64" s="85"/>
      <c r="W64" s="87"/>
      <c r="X64" s="87"/>
      <c r="Y64" s="117"/>
      <c r="Z64" s="117"/>
      <c r="AB64" s="117"/>
      <c r="AC64" s="112"/>
      <c r="AD64" s="112"/>
      <c r="AE64" s="117"/>
      <c r="AF64" s="112"/>
      <c r="AG64" s="117"/>
      <c r="AH64" s="117"/>
      <c r="BF64" s="87"/>
      <c r="BH64" s="117"/>
      <c r="BI64" s="117"/>
      <c r="BJ64" s="85"/>
      <c r="BK64" s="87"/>
      <c r="BL64" s="87"/>
      <c r="BM64" s="117"/>
      <c r="BN64" s="117"/>
      <c r="BP64" s="117"/>
      <c r="BQ64" s="112"/>
      <c r="BR64" s="112"/>
      <c r="BS64" s="117"/>
      <c r="BT64" s="112"/>
      <c r="BU64" s="117"/>
      <c r="BV64" s="117"/>
      <c r="BX64" s="82"/>
      <c r="BY64" s="82"/>
      <c r="BZ64" s="82"/>
      <c r="CA64" s="82"/>
      <c r="CB64" s="82"/>
      <c r="CC64" s="82"/>
      <c r="CD64" s="82"/>
      <c r="CF64" s="82"/>
      <c r="CG64" s="82"/>
      <c r="CH64" s="82"/>
      <c r="CI64" s="82"/>
      <c r="CJ64" s="82"/>
      <c r="CK64" s="82"/>
      <c r="CL64" s="82"/>
      <c r="CN64" s="82"/>
      <c r="CO64" s="82"/>
      <c r="CP64" s="82"/>
      <c r="CQ64" s="82"/>
      <c r="CR64" s="82"/>
    </row>
    <row r="65" spans="2:103" ht="9.9499999999999993" hidden="1" customHeight="1">
      <c r="B65" s="82" t="s">
        <v>762</v>
      </c>
      <c r="D65" s="117"/>
      <c r="E65" s="117"/>
      <c r="F65" s="117"/>
      <c r="G65" s="117"/>
      <c r="H65" s="112"/>
      <c r="I65" s="85"/>
      <c r="O65" s="85"/>
      <c r="P65" s="87"/>
      <c r="Q65" s="85"/>
      <c r="R65" s="87"/>
      <c r="T65" s="117"/>
      <c r="U65" s="117"/>
      <c r="V65" s="85"/>
      <c r="W65" s="87"/>
      <c r="X65" s="87"/>
      <c r="Y65" s="117"/>
      <c r="Z65" s="117"/>
      <c r="AB65" s="117"/>
      <c r="AC65" s="112"/>
      <c r="AD65" s="112"/>
      <c r="AE65" s="117"/>
      <c r="AF65" s="112"/>
      <c r="AG65" s="117"/>
      <c r="AH65" s="117"/>
      <c r="BF65" s="87"/>
      <c r="BH65" s="117"/>
      <c r="BI65" s="117"/>
      <c r="BJ65" s="85"/>
      <c r="BK65" s="87"/>
      <c r="BL65" s="87"/>
      <c r="BM65" s="117"/>
      <c r="BN65" s="117"/>
      <c r="BP65" s="117"/>
      <c r="BQ65" s="112"/>
      <c r="BR65" s="112"/>
      <c r="BS65" s="117"/>
      <c r="BT65" s="112"/>
      <c r="BU65" s="117"/>
      <c r="BV65" s="117"/>
      <c r="BX65" s="82"/>
      <c r="BY65" s="82"/>
      <c r="BZ65" s="82"/>
      <c r="CA65" s="82"/>
      <c r="CB65" s="82"/>
      <c r="CC65" s="82"/>
      <c r="CD65" s="82"/>
      <c r="CF65" s="82"/>
      <c r="CG65" s="82"/>
      <c r="CH65" s="82"/>
      <c r="CI65" s="82"/>
      <c r="CJ65" s="82"/>
      <c r="CK65" s="82"/>
      <c r="CL65" s="82"/>
      <c r="CN65" s="82"/>
      <c r="CO65" s="82"/>
      <c r="CP65" s="82"/>
      <c r="CQ65" s="82"/>
      <c r="CR65" s="82"/>
    </row>
    <row r="66" spans="2:103" ht="9.9499999999999993" hidden="1" customHeight="1">
      <c r="B66" s="82">
        <v>0</v>
      </c>
      <c r="D66" s="117"/>
      <c r="E66" s="117"/>
      <c r="F66" s="117"/>
      <c r="G66" s="117"/>
      <c r="H66" s="112"/>
      <c r="I66" s="85"/>
      <c r="O66" s="85"/>
      <c r="P66" s="87"/>
      <c r="Q66" s="85"/>
      <c r="R66" s="87"/>
      <c r="T66" s="117"/>
      <c r="U66" s="117"/>
      <c r="V66" s="85"/>
      <c r="W66" s="87"/>
      <c r="X66" s="87"/>
      <c r="Y66" s="117"/>
      <c r="Z66" s="117"/>
      <c r="AB66" s="117"/>
      <c r="AC66" s="112"/>
      <c r="AD66" s="112"/>
      <c r="AE66" s="117"/>
      <c r="AF66" s="112"/>
      <c r="AG66" s="117"/>
      <c r="AH66" s="117"/>
      <c r="BF66" s="87"/>
      <c r="BH66" s="117"/>
      <c r="BI66" s="117"/>
      <c r="BJ66" s="85"/>
      <c r="BK66" s="87"/>
      <c r="BL66" s="87"/>
      <c r="BM66" s="117"/>
      <c r="BN66" s="117"/>
      <c r="BP66" s="117"/>
      <c r="BQ66" s="112"/>
      <c r="BR66" s="112"/>
      <c r="BS66" s="117"/>
      <c r="BT66" s="112"/>
      <c r="BU66" s="117"/>
      <c r="BV66" s="117"/>
      <c r="BX66" s="82"/>
      <c r="BY66" s="82"/>
      <c r="BZ66" s="82"/>
      <c r="CA66" s="82"/>
      <c r="CB66" s="82"/>
      <c r="CC66" s="82"/>
      <c r="CD66" s="82"/>
      <c r="CF66" s="82"/>
      <c r="CG66" s="82"/>
      <c r="CH66" s="82"/>
      <c r="CI66" s="82"/>
      <c r="CJ66" s="82"/>
      <c r="CK66" s="82"/>
      <c r="CL66" s="82"/>
      <c r="CN66" s="82"/>
      <c r="CO66" s="82"/>
      <c r="CP66" s="82"/>
      <c r="CQ66" s="82"/>
      <c r="CR66" s="82"/>
    </row>
    <row r="67" spans="2:103" ht="9.9499999999999993" hidden="1" customHeight="1">
      <c r="B67" s="82">
        <v>1</v>
      </c>
      <c r="D67" s="117"/>
      <c r="E67" s="117"/>
      <c r="F67" s="117"/>
      <c r="G67" s="117"/>
      <c r="H67" s="112"/>
      <c r="I67" s="85"/>
      <c r="O67" s="85"/>
      <c r="P67" s="87"/>
      <c r="Q67" s="85"/>
      <c r="R67" s="87"/>
      <c r="T67" s="117"/>
      <c r="U67" s="117"/>
      <c r="V67" s="85"/>
      <c r="W67" s="87"/>
      <c r="X67" s="87"/>
      <c r="Y67" s="117"/>
      <c r="Z67" s="117"/>
      <c r="AB67" s="117"/>
      <c r="AC67" s="112"/>
      <c r="AD67" s="112"/>
      <c r="AE67" s="117"/>
      <c r="AF67" s="112"/>
      <c r="AG67" s="117"/>
      <c r="AH67" s="117"/>
      <c r="BF67" s="87"/>
      <c r="BH67" s="117"/>
      <c r="BI67" s="117"/>
      <c r="BJ67" s="85"/>
      <c r="BK67" s="87"/>
      <c r="BL67" s="87"/>
      <c r="BM67" s="117"/>
      <c r="BN67" s="117"/>
      <c r="BP67" s="117"/>
      <c r="BQ67" s="112"/>
      <c r="BR67" s="112"/>
      <c r="BS67" s="117"/>
      <c r="BT67" s="112"/>
      <c r="BU67" s="117"/>
      <c r="BV67" s="117"/>
      <c r="BX67" s="82"/>
      <c r="BY67" s="82"/>
      <c r="BZ67" s="82"/>
      <c r="CA67" s="82"/>
      <c r="CB67" s="82"/>
      <c r="CC67" s="82"/>
      <c r="CD67" s="82"/>
      <c r="CF67" s="82"/>
      <c r="CG67" s="82"/>
      <c r="CH67" s="82"/>
      <c r="CI67" s="82"/>
      <c r="CJ67" s="82"/>
      <c r="CK67" s="82"/>
      <c r="CL67" s="82"/>
      <c r="CN67" s="82"/>
      <c r="CO67" s="82"/>
      <c r="CP67" s="82"/>
      <c r="CQ67" s="82"/>
      <c r="CR67" s="82"/>
    </row>
    <row r="68" spans="2:103" ht="9.9499999999999993" hidden="1" customHeight="1">
      <c r="D68" s="117"/>
      <c r="E68" s="117"/>
      <c r="F68" s="117"/>
      <c r="G68" s="117"/>
      <c r="H68" s="112"/>
      <c r="I68" s="85"/>
      <c r="O68" s="85"/>
      <c r="P68" s="87"/>
      <c r="Q68" s="85"/>
      <c r="R68" s="87"/>
      <c r="T68" s="117"/>
      <c r="U68" s="117"/>
      <c r="V68" s="85"/>
      <c r="W68" s="87"/>
      <c r="X68" s="87"/>
      <c r="Y68" s="117"/>
      <c r="Z68" s="117"/>
      <c r="AB68" s="117"/>
      <c r="AC68" s="112"/>
      <c r="AD68" s="112"/>
      <c r="AE68" s="117"/>
      <c r="AF68" s="112"/>
      <c r="AG68" s="117"/>
      <c r="AH68" s="117"/>
      <c r="BF68" s="87"/>
      <c r="BH68" s="117"/>
      <c r="BI68" s="117"/>
      <c r="BJ68" s="85"/>
      <c r="BK68" s="87"/>
      <c r="BL68" s="87"/>
      <c r="BM68" s="117"/>
      <c r="BN68" s="117"/>
      <c r="BP68" s="117"/>
      <c r="BQ68" s="112"/>
      <c r="BR68" s="112"/>
      <c r="BS68" s="117"/>
      <c r="BT68" s="112"/>
      <c r="BU68" s="117"/>
      <c r="BV68" s="117"/>
      <c r="BX68" s="82"/>
      <c r="BY68" s="82"/>
      <c r="BZ68" s="82"/>
      <c r="CA68" s="82"/>
      <c r="CB68" s="82"/>
      <c r="CC68" s="82"/>
      <c r="CD68" s="82"/>
      <c r="CF68" s="82"/>
      <c r="CG68" s="82"/>
      <c r="CH68" s="82"/>
      <c r="CI68" s="82"/>
      <c r="CJ68" s="82"/>
      <c r="CK68" s="82"/>
      <c r="CL68" s="82"/>
      <c r="CN68" s="82"/>
      <c r="CO68" s="82"/>
      <c r="CP68" s="82"/>
      <c r="CQ68" s="82"/>
      <c r="CR68" s="82"/>
    </row>
    <row r="69" spans="2:103" ht="30" hidden="1" customHeight="1">
      <c r="D69" s="117"/>
      <c r="E69" s="117"/>
      <c r="F69" s="117"/>
      <c r="G69" s="117"/>
      <c r="H69" s="112"/>
      <c r="I69" s="85"/>
      <c r="K69" s="285" t="s">
        <v>782</v>
      </c>
      <c r="L69" s="285"/>
      <c r="M69" s="285"/>
      <c r="N69" s="285"/>
      <c r="O69" s="285"/>
      <c r="P69" s="285"/>
      <c r="Q69" s="85"/>
      <c r="R69" s="285" t="s">
        <v>782</v>
      </c>
      <c r="S69" s="285"/>
      <c r="T69" s="285"/>
      <c r="U69" s="285"/>
      <c r="V69" s="285"/>
      <c r="W69" s="285"/>
      <c r="X69" s="87"/>
      <c r="Y69" s="117"/>
      <c r="Z69" s="285" t="s">
        <v>782</v>
      </c>
      <c r="AA69" s="285"/>
      <c r="AB69" s="285"/>
      <c r="AC69" s="285"/>
      <c r="AD69" s="285"/>
      <c r="AE69" s="285"/>
      <c r="AF69" s="112"/>
      <c r="AG69" s="117"/>
      <c r="AH69" s="285" t="s">
        <v>782</v>
      </c>
      <c r="AI69" s="285"/>
      <c r="AJ69" s="285"/>
      <c r="AK69" s="285"/>
      <c r="AL69" s="285"/>
      <c r="AM69" s="285"/>
      <c r="AP69" s="285" t="s">
        <v>782</v>
      </c>
      <c r="AQ69" s="285"/>
      <c r="AR69" s="285"/>
      <c r="AS69" s="285"/>
      <c r="AT69" s="285"/>
      <c r="AU69" s="285"/>
      <c r="AX69" s="285" t="s">
        <v>782</v>
      </c>
      <c r="AY69" s="285"/>
      <c r="AZ69" s="285"/>
      <c r="BA69" s="285"/>
      <c r="BB69" s="285"/>
      <c r="BC69" s="285"/>
      <c r="BF69" s="285" t="s">
        <v>782</v>
      </c>
      <c r="BG69" s="285"/>
      <c r="BH69" s="285"/>
      <c r="BI69" s="285"/>
      <c r="BJ69" s="285"/>
      <c r="BK69" s="285"/>
      <c r="BL69" s="87"/>
      <c r="BM69" s="117"/>
      <c r="BN69" s="285" t="s">
        <v>782</v>
      </c>
      <c r="BO69" s="285"/>
      <c r="BP69" s="285"/>
      <c r="BQ69" s="285"/>
      <c r="BR69" s="285"/>
      <c r="BS69" s="285"/>
      <c r="BT69" s="112"/>
      <c r="BU69" s="117"/>
      <c r="BV69" s="285" t="s">
        <v>782</v>
      </c>
      <c r="BW69" s="285"/>
      <c r="BX69" s="285"/>
      <c r="BY69" s="285"/>
      <c r="BZ69" s="285"/>
      <c r="CA69" s="285"/>
      <c r="CB69" s="82"/>
      <c r="CC69" s="82"/>
      <c r="CD69" s="285" t="s">
        <v>782</v>
      </c>
      <c r="CE69" s="285"/>
      <c r="CF69" s="285"/>
      <c r="CG69" s="285"/>
      <c r="CH69" s="285"/>
      <c r="CI69" s="285"/>
      <c r="CJ69" s="82"/>
      <c r="CK69" s="82"/>
      <c r="CL69" s="285" t="s">
        <v>782</v>
      </c>
      <c r="CM69" s="285"/>
      <c r="CN69" s="285"/>
      <c r="CO69" s="285"/>
      <c r="CP69" s="285"/>
      <c r="CQ69" s="285"/>
      <c r="CR69" s="82"/>
      <c r="CS69" s="156"/>
      <c r="CT69" s="285" t="s">
        <v>782</v>
      </c>
      <c r="CU69" s="285"/>
      <c r="CV69" s="285"/>
      <c r="CW69" s="285"/>
      <c r="CX69" s="285"/>
      <c r="CY69" s="285"/>
    </row>
    <row r="70" spans="2:103" ht="30" hidden="1" customHeight="1">
      <c r="D70" s="117"/>
      <c r="E70" s="117"/>
      <c r="F70" s="117"/>
      <c r="G70" s="117"/>
      <c r="H70" s="112"/>
      <c r="I70" s="85"/>
      <c r="K70" s="153" t="s">
        <v>775</v>
      </c>
      <c r="L70" s="286">
        <f>L14+L15+L43+L44</f>
        <v>12</v>
      </c>
      <c r="M70" s="287"/>
      <c r="N70" s="287"/>
      <c r="O70" s="287"/>
      <c r="P70" s="288"/>
      <c r="Q70" s="85"/>
      <c r="R70" s="153" t="s">
        <v>775</v>
      </c>
      <c r="S70" s="286">
        <f>S14+S15+S43+S44</f>
        <v>13</v>
      </c>
      <c r="T70" s="287"/>
      <c r="U70" s="287"/>
      <c r="V70" s="287"/>
      <c r="W70" s="288"/>
      <c r="X70" s="87"/>
      <c r="Y70" s="117"/>
      <c r="Z70" s="153" t="s">
        <v>775</v>
      </c>
      <c r="AA70" s="286">
        <f>AA14+AA15+AA43+AA44</f>
        <v>14</v>
      </c>
      <c r="AB70" s="287"/>
      <c r="AC70" s="287"/>
      <c r="AD70" s="287"/>
      <c r="AE70" s="288"/>
      <c r="AF70" s="112"/>
      <c r="AG70" s="117"/>
      <c r="AH70" s="153" t="s">
        <v>775</v>
      </c>
      <c r="AI70" s="286">
        <f>AI14+AI15+AI43+AI44</f>
        <v>15</v>
      </c>
      <c r="AJ70" s="287"/>
      <c r="AK70" s="287"/>
      <c r="AL70" s="287"/>
      <c r="AM70" s="288"/>
      <c r="AP70" s="153" t="s">
        <v>775</v>
      </c>
      <c r="AQ70" s="286">
        <f>AQ14+AQ15+AQ43+AQ44</f>
        <v>16</v>
      </c>
      <c r="AR70" s="287"/>
      <c r="AS70" s="287"/>
      <c r="AT70" s="287"/>
      <c r="AU70" s="288"/>
      <c r="AX70" s="153" t="s">
        <v>775</v>
      </c>
      <c r="AY70" s="286">
        <f>AY14+AY15+AY43+AY44</f>
        <v>16</v>
      </c>
      <c r="AZ70" s="287"/>
      <c r="BA70" s="287"/>
      <c r="BB70" s="287"/>
      <c r="BC70" s="288"/>
      <c r="BF70" s="153" t="s">
        <v>775</v>
      </c>
      <c r="BG70" s="286">
        <f>BG14+BG15+BG43+BG44</f>
        <v>16</v>
      </c>
      <c r="BH70" s="287"/>
      <c r="BI70" s="287"/>
      <c r="BJ70" s="287"/>
      <c r="BK70" s="288"/>
      <c r="BL70" s="87"/>
      <c r="BM70" s="117"/>
      <c r="BN70" s="153" t="s">
        <v>775</v>
      </c>
      <c r="BO70" s="286">
        <f>BO14+BO15+BO43+BO44</f>
        <v>16</v>
      </c>
      <c r="BP70" s="287"/>
      <c r="BQ70" s="287"/>
      <c r="BR70" s="287"/>
      <c r="BS70" s="288"/>
      <c r="BT70" s="112"/>
      <c r="BU70" s="117"/>
      <c r="BV70" s="153" t="s">
        <v>775</v>
      </c>
      <c r="BW70" s="286">
        <f>BW14+BW15+BW43+BW44</f>
        <v>16</v>
      </c>
      <c r="BX70" s="287"/>
      <c r="BY70" s="287"/>
      <c r="BZ70" s="287"/>
      <c r="CA70" s="288"/>
      <c r="CB70" s="82"/>
      <c r="CC70" s="82"/>
      <c r="CD70" s="153" t="s">
        <v>775</v>
      </c>
      <c r="CE70" s="286">
        <f>CE14+CE15+CE43+CE44</f>
        <v>16</v>
      </c>
      <c r="CF70" s="287"/>
      <c r="CG70" s="287"/>
      <c r="CH70" s="287"/>
      <c r="CI70" s="288"/>
      <c r="CJ70" s="82"/>
      <c r="CK70" s="82"/>
      <c r="CL70" s="153" t="s">
        <v>775</v>
      </c>
      <c r="CM70" s="286">
        <f>CM14+CM15+CM43+CM44</f>
        <v>16</v>
      </c>
      <c r="CN70" s="287"/>
      <c r="CO70" s="287"/>
      <c r="CP70" s="287"/>
      <c r="CQ70" s="288"/>
      <c r="CR70" s="82"/>
      <c r="CS70" s="157"/>
      <c r="CT70" s="153" t="s">
        <v>775</v>
      </c>
      <c r="CU70" s="286">
        <f>CU14+CU15+CU43+CU44</f>
        <v>8</v>
      </c>
      <c r="CV70" s="287"/>
      <c r="CW70" s="287"/>
      <c r="CX70" s="287"/>
      <c r="CY70" s="288"/>
    </row>
    <row r="71" spans="2:103" ht="30" hidden="1" customHeight="1">
      <c r="D71" s="117"/>
      <c r="E71" s="117"/>
      <c r="F71" s="117"/>
      <c r="G71" s="117"/>
      <c r="H71" s="112"/>
      <c r="I71" s="85"/>
      <c r="K71" s="153" t="s">
        <v>776</v>
      </c>
      <c r="L71" s="289">
        <f>L46+L45+L23+L24</f>
        <v>12</v>
      </c>
      <c r="M71" s="289"/>
      <c r="N71" s="289"/>
      <c r="O71" s="289"/>
      <c r="P71" s="289"/>
      <c r="Q71" s="85"/>
      <c r="R71" s="153" t="s">
        <v>776</v>
      </c>
      <c r="S71" s="289">
        <f>S46+S45+S23+S24</f>
        <v>13</v>
      </c>
      <c r="T71" s="289"/>
      <c r="U71" s="289"/>
      <c r="V71" s="289"/>
      <c r="W71" s="289"/>
      <c r="X71" s="87"/>
      <c r="Y71" s="117"/>
      <c r="Z71" s="153" t="s">
        <v>776</v>
      </c>
      <c r="AA71" s="289">
        <f>AA46+AA45+AA23+AA24</f>
        <v>14</v>
      </c>
      <c r="AB71" s="289"/>
      <c r="AC71" s="289"/>
      <c r="AD71" s="289"/>
      <c r="AE71" s="289"/>
      <c r="AF71" s="112"/>
      <c r="AG71" s="117"/>
      <c r="AH71" s="153" t="s">
        <v>776</v>
      </c>
      <c r="AI71" s="289">
        <f>AI46+AI45+AI23+AI24</f>
        <v>15</v>
      </c>
      <c r="AJ71" s="289"/>
      <c r="AK71" s="289"/>
      <c r="AL71" s="289"/>
      <c r="AM71" s="289"/>
      <c r="AP71" s="153" t="s">
        <v>776</v>
      </c>
      <c r="AQ71" s="289">
        <f>AQ46+AQ45+AQ23+AQ24</f>
        <v>16</v>
      </c>
      <c r="AR71" s="289"/>
      <c r="AS71" s="289"/>
      <c r="AT71" s="289"/>
      <c r="AU71" s="289"/>
      <c r="AX71" s="153" t="s">
        <v>776</v>
      </c>
      <c r="AY71" s="289">
        <f>AY46+AY45+AY23+AY24</f>
        <v>16</v>
      </c>
      <c r="AZ71" s="289"/>
      <c r="BA71" s="289"/>
      <c r="BB71" s="289"/>
      <c r="BC71" s="289"/>
      <c r="BF71" s="153" t="s">
        <v>776</v>
      </c>
      <c r="BG71" s="289">
        <f>BG46+BG45+BG23+BG24</f>
        <v>16</v>
      </c>
      <c r="BH71" s="289"/>
      <c r="BI71" s="289"/>
      <c r="BJ71" s="289"/>
      <c r="BK71" s="289"/>
      <c r="BL71" s="87"/>
      <c r="BM71" s="117"/>
      <c r="BN71" s="153" t="s">
        <v>776</v>
      </c>
      <c r="BO71" s="289">
        <f>BO46+BO45+BO23+BO24</f>
        <v>16</v>
      </c>
      <c r="BP71" s="289"/>
      <c r="BQ71" s="289"/>
      <c r="BR71" s="289"/>
      <c r="BS71" s="289"/>
      <c r="BT71" s="112"/>
      <c r="BU71" s="117"/>
      <c r="BV71" s="153" t="s">
        <v>776</v>
      </c>
      <c r="BW71" s="289">
        <f>BW46+BW45+BW23+BW24</f>
        <v>16</v>
      </c>
      <c r="BX71" s="289"/>
      <c r="BY71" s="289"/>
      <c r="BZ71" s="289"/>
      <c r="CA71" s="289"/>
      <c r="CB71" s="82"/>
      <c r="CC71" s="82"/>
      <c r="CD71" s="153" t="s">
        <v>776</v>
      </c>
      <c r="CE71" s="289">
        <f>CE46+CE45+CE23+CE24</f>
        <v>16</v>
      </c>
      <c r="CF71" s="289"/>
      <c r="CG71" s="289"/>
      <c r="CH71" s="289"/>
      <c r="CI71" s="289"/>
      <c r="CJ71" s="82"/>
      <c r="CK71" s="82"/>
      <c r="CL71" s="153" t="s">
        <v>776</v>
      </c>
      <c r="CM71" s="289">
        <f>CM46+CM45+CM23+CM24</f>
        <v>16</v>
      </c>
      <c r="CN71" s="289"/>
      <c r="CO71" s="289"/>
      <c r="CP71" s="289"/>
      <c r="CQ71" s="289"/>
      <c r="CR71" s="82"/>
      <c r="CS71" s="157"/>
      <c r="CT71" s="153" t="s">
        <v>776</v>
      </c>
      <c r="CU71" s="289">
        <f>CU46+CU45+CU23+CU24</f>
        <v>8</v>
      </c>
      <c r="CV71" s="289"/>
      <c r="CW71" s="289"/>
      <c r="CX71" s="289"/>
      <c r="CY71" s="289"/>
    </row>
    <row r="72" spans="2:103" ht="30" hidden="1" customHeight="1">
      <c r="D72" s="117"/>
      <c r="E72" s="117"/>
      <c r="F72" s="117"/>
      <c r="G72" s="117"/>
      <c r="H72" s="112"/>
      <c r="I72" s="85"/>
      <c r="K72" s="153" t="s">
        <v>797</v>
      </c>
      <c r="L72" s="289">
        <f>L53+L16</f>
        <v>6</v>
      </c>
      <c r="M72" s="289"/>
      <c r="N72" s="289"/>
      <c r="O72" s="289"/>
      <c r="P72" s="289"/>
      <c r="Q72" s="85"/>
      <c r="R72" s="153" t="s">
        <v>797</v>
      </c>
      <c r="S72" s="289">
        <f>S53+S16</f>
        <v>6</v>
      </c>
      <c r="T72" s="289"/>
      <c r="U72" s="289"/>
      <c r="V72" s="289"/>
      <c r="W72" s="289"/>
      <c r="X72" s="87"/>
      <c r="Y72" s="117"/>
      <c r="Z72" s="153" t="s">
        <v>797</v>
      </c>
      <c r="AA72" s="289">
        <f>AA53+AA16</f>
        <v>7</v>
      </c>
      <c r="AB72" s="289"/>
      <c r="AC72" s="289"/>
      <c r="AD72" s="289"/>
      <c r="AE72" s="289"/>
      <c r="AF72" s="112"/>
      <c r="AG72" s="117"/>
      <c r="AH72" s="153" t="s">
        <v>797</v>
      </c>
      <c r="AI72" s="289">
        <f>AI53+AI16</f>
        <v>7</v>
      </c>
      <c r="AJ72" s="289"/>
      <c r="AK72" s="289"/>
      <c r="AL72" s="289"/>
      <c r="AM72" s="289"/>
      <c r="AP72" s="153" t="s">
        <v>797</v>
      </c>
      <c r="AQ72" s="289">
        <f>AQ53+AQ16</f>
        <v>7</v>
      </c>
      <c r="AR72" s="289"/>
      <c r="AS72" s="289"/>
      <c r="AT72" s="289"/>
      <c r="AU72" s="289"/>
      <c r="AX72" s="153" t="s">
        <v>797</v>
      </c>
      <c r="AY72" s="289">
        <f>AY53+AY16</f>
        <v>7</v>
      </c>
      <c r="AZ72" s="289"/>
      <c r="BA72" s="289"/>
      <c r="BB72" s="289"/>
      <c r="BC72" s="289"/>
      <c r="BF72" s="153" t="s">
        <v>797</v>
      </c>
      <c r="BG72" s="289">
        <f>BG53+BG16</f>
        <v>7</v>
      </c>
      <c r="BH72" s="289"/>
      <c r="BI72" s="289"/>
      <c r="BJ72" s="289"/>
      <c r="BK72" s="289"/>
      <c r="BL72" s="87"/>
      <c r="BM72" s="117"/>
      <c r="BN72" s="153" t="s">
        <v>797</v>
      </c>
      <c r="BO72" s="289">
        <f>BO53+BO16</f>
        <v>7</v>
      </c>
      <c r="BP72" s="289"/>
      <c r="BQ72" s="289"/>
      <c r="BR72" s="289"/>
      <c r="BS72" s="289"/>
      <c r="BT72" s="112"/>
      <c r="BU72" s="117"/>
      <c r="BV72" s="153" t="s">
        <v>797</v>
      </c>
      <c r="BW72" s="289">
        <f>BW53+BW16</f>
        <v>7</v>
      </c>
      <c r="BX72" s="289"/>
      <c r="BY72" s="289"/>
      <c r="BZ72" s="289"/>
      <c r="CA72" s="289"/>
      <c r="CB72" s="82"/>
      <c r="CC72" s="82"/>
      <c r="CD72" s="153" t="s">
        <v>797</v>
      </c>
      <c r="CE72" s="289">
        <f>CE53+CE16</f>
        <v>7</v>
      </c>
      <c r="CF72" s="289"/>
      <c r="CG72" s="289"/>
      <c r="CH72" s="289"/>
      <c r="CI72" s="289"/>
      <c r="CJ72" s="82"/>
      <c r="CK72" s="82"/>
      <c r="CL72" s="153" t="s">
        <v>797</v>
      </c>
      <c r="CM72" s="289">
        <f>CM53+CM16</f>
        <v>7</v>
      </c>
      <c r="CN72" s="289"/>
      <c r="CO72" s="289"/>
      <c r="CP72" s="289"/>
      <c r="CQ72" s="289"/>
      <c r="CR72" s="82"/>
      <c r="CS72" s="157"/>
      <c r="CT72" s="153" t="s">
        <v>797</v>
      </c>
      <c r="CU72" s="289">
        <f>CU53+CU16</f>
        <v>4</v>
      </c>
      <c r="CV72" s="289"/>
      <c r="CW72" s="289"/>
      <c r="CX72" s="289"/>
      <c r="CY72" s="289"/>
    </row>
    <row r="73" spans="2:103" ht="30" hidden="1" customHeight="1">
      <c r="D73" s="112"/>
      <c r="E73" s="112"/>
      <c r="F73" s="112"/>
      <c r="G73" s="112"/>
      <c r="H73" s="112"/>
      <c r="I73" s="87"/>
      <c r="K73" s="153" t="s">
        <v>798</v>
      </c>
      <c r="L73" s="290">
        <f>L52+L32+L17</f>
        <v>9</v>
      </c>
      <c r="M73" s="291"/>
      <c r="N73" s="291"/>
      <c r="O73" s="291"/>
      <c r="P73" s="292"/>
      <c r="Q73" s="87"/>
      <c r="R73" s="153" t="s">
        <v>798</v>
      </c>
      <c r="S73" s="290">
        <f>S52+S32+S17</f>
        <v>10</v>
      </c>
      <c r="T73" s="291"/>
      <c r="U73" s="291"/>
      <c r="V73" s="291"/>
      <c r="W73" s="292"/>
      <c r="X73" s="87"/>
      <c r="Y73" s="112"/>
      <c r="Z73" s="153" t="s">
        <v>798</v>
      </c>
      <c r="AA73" s="290">
        <f>AA52+AA32+AA17</f>
        <v>10</v>
      </c>
      <c r="AB73" s="291"/>
      <c r="AC73" s="291"/>
      <c r="AD73" s="291"/>
      <c r="AE73" s="292"/>
      <c r="AF73" s="112"/>
      <c r="AG73" s="112"/>
      <c r="AH73" s="153" t="s">
        <v>798</v>
      </c>
      <c r="AI73" s="290">
        <f>AI52+AI32+AI17</f>
        <v>11</v>
      </c>
      <c r="AJ73" s="291"/>
      <c r="AK73" s="291"/>
      <c r="AL73" s="291"/>
      <c r="AM73" s="292"/>
      <c r="AP73" s="153" t="s">
        <v>798</v>
      </c>
      <c r="AQ73" s="290">
        <f>AQ52+AQ32+AQ17</f>
        <v>11</v>
      </c>
      <c r="AR73" s="291"/>
      <c r="AS73" s="291"/>
      <c r="AT73" s="291"/>
      <c r="AU73" s="292"/>
      <c r="AX73" s="153" t="s">
        <v>798</v>
      </c>
      <c r="AY73" s="290">
        <f>AY52+AY32+AY17</f>
        <v>11</v>
      </c>
      <c r="AZ73" s="291"/>
      <c r="BA73" s="291"/>
      <c r="BB73" s="291"/>
      <c r="BC73" s="292"/>
      <c r="BF73" s="153" t="s">
        <v>798</v>
      </c>
      <c r="BG73" s="290">
        <f>BG52+BG32+BG17</f>
        <v>11</v>
      </c>
      <c r="BH73" s="291"/>
      <c r="BI73" s="291"/>
      <c r="BJ73" s="291"/>
      <c r="BK73" s="292"/>
      <c r="BL73" s="87"/>
      <c r="BM73" s="112"/>
      <c r="BN73" s="153" t="s">
        <v>798</v>
      </c>
      <c r="BO73" s="290">
        <f>BO52+BO32+BO17</f>
        <v>11</v>
      </c>
      <c r="BP73" s="291"/>
      <c r="BQ73" s="291"/>
      <c r="BR73" s="291"/>
      <c r="BS73" s="292"/>
      <c r="BT73" s="112"/>
      <c r="BU73" s="112"/>
      <c r="BV73" s="153" t="s">
        <v>798</v>
      </c>
      <c r="BW73" s="290">
        <f>BW52+BW32+BW17</f>
        <v>11</v>
      </c>
      <c r="BX73" s="291"/>
      <c r="BY73" s="291"/>
      <c r="BZ73" s="291"/>
      <c r="CA73" s="292"/>
      <c r="CB73" s="82"/>
      <c r="CC73" s="82"/>
      <c r="CD73" s="153" t="s">
        <v>798</v>
      </c>
      <c r="CE73" s="290">
        <f>CE52+CE32+CE17</f>
        <v>11</v>
      </c>
      <c r="CF73" s="291"/>
      <c r="CG73" s="291"/>
      <c r="CH73" s="291"/>
      <c r="CI73" s="292"/>
      <c r="CJ73" s="82"/>
      <c r="CK73" s="82"/>
      <c r="CL73" s="153" t="s">
        <v>798</v>
      </c>
      <c r="CM73" s="290">
        <f>CM52+CM32+CM17</f>
        <v>11</v>
      </c>
      <c r="CN73" s="291"/>
      <c r="CO73" s="291"/>
      <c r="CP73" s="291"/>
      <c r="CQ73" s="292"/>
      <c r="CR73" s="82"/>
      <c r="CS73" s="157"/>
      <c r="CT73" s="153" t="s">
        <v>798</v>
      </c>
      <c r="CU73" s="290">
        <f>CU52+CU32+CU17</f>
        <v>6</v>
      </c>
      <c r="CV73" s="291"/>
      <c r="CW73" s="291"/>
      <c r="CX73" s="291"/>
      <c r="CY73" s="292"/>
    </row>
    <row r="74" spans="2:103" ht="30" hidden="1" customHeight="1">
      <c r="D74" s="112"/>
      <c r="E74" s="112"/>
      <c r="F74" s="112"/>
      <c r="G74" s="112"/>
      <c r="H74" s="112"/>
      <c r="I74" s="87"/>
      <c r="K74" s="153" t="s">
        <v>799</v>
      </c>
      <c r="L74" s="290">
        <f>L27</f>
        <v>3</v>
      </c>
      <c r="M74" s="291"/>
      <c r="N74" s="291"/>
      <c r="O74" s="291"/>
      <c r="P74" s="292"/>
      <c r="Q74" s="87"/>
      <c r="R74" s="153" t="s">
        <v>799</v>
      </c>
      <c r="S74" s="290">
        <f>S27</f>
        <v>3</v>
      </c>
      <c r="T74" s="291"/>
      <c r="U74" s="291"/>
      <c r="V74" s="291"/>
      <c r="W74" s="292"/>
      <c r="X74" s="87"/>
      <c r="Y74" s="112"/>
      <c r="Z74" s="153" t="s">
        <v>799</v>
      </c>
      <c r="AA74" s="290">
        <f>AA27</f>
        <v>3</v>
      </c>
      <c r="AB74" s="291"/>
      <c r="AC74" s="291"/>
      <c r="AD74" s="291"/>
      <c r="AE74" s="292"/>
      <c r="AF74" s="112"/>
      <c r="AG74" s="112"/>
      <c r="AH74" s="153" t="s">
        <v>799</v>
      </c>
      <c r="AI74" s="290">
        <f>AI27</f>
        <v>3</v>
      </c>
      <c r="AJ74" s="291"/>
      <c r="AK74" s="291"/>
      <c r="AL74" s="291"/>
      <c r="AM74" s="292"/>
      <c r="AP74" s="153" t="s">
        <v>799</v>
      </c>
      <c r="AQ74" s="290">
        <f>AQ27</f>
        <v>3</v>
      </c>
      <c r="AR74" s="291"/>
      <c r="AS74" s="291"/>
      <c r="AT74" s="291"/>
      <c r="AU74" s="292"/>
      <c r="AX74" s="153" t="s">
        <v>799</v>
      </c>
      <c r="AY74" s="290">
        <f>AY27</f>
        <v>3</v>
      </c>
      <c r="AZ74" s="291"/>
      <c r="BA74" s="291"/>
      <c r="BB74" s="291"/>
      <c r="BC74" s="292"/>
      <c r="BF74" s="153" t="s">
        <v>799</v>
      </c>
      <c r="BG74" s="290">
        <f>BG27</f>
        <v>3</v>
      </c>
      <c r="BH74" s="291"/>
      <c r="BI74" s="291"/>
      <c r="BJ74" s="291"/>
      <c r="BK74" s="292"/>
      <c r="BL74" s="87"/>
      <c r="BM74" s="112"/>
      <c r="BN74" s="153" t="s">
        <v>799</v>
      </c>
      <c r="BO74" s="290">
        <f>BO27</f>
        <v>3</v>
      </c>
      <c r="BP74" s="291"/>
      <c r="BQ74" s="291"/>
      <c r="BR74" s="291"/>
      <c r="BS74" s="292"/>
      <c r="BT74" s="112"/>
      <c r="BU74" s="112"/>
      <c r="BV74" s="153" t="s">
        <v>799</v>
      </c>
      <c r="BW74" s="290">
        <f>BW27</f>
        <v>3</v>
      </c>
      <c r="BX74" s="291"/>
      <c r="BY74" s="291"/>
      <c r="BZ74" s="291"/>
      <c r="CA74" s="292"/>
      <c r="CB74" s="82"/>
      <c r="CC74" s="82"/>
      <c r="CD74" s="153" t="s">
        <v>799</v>
      </c>
      <c r="CE74" s="290">
        <f>CE27</f>
        <v>3</v>
      </c>
      <c r="CF74" s="291"/>
      <c r="CG74" s="291"/>
      <c r="CH74" s="291"/>
      <c r="CI74" s="292"/>
      <c r="CJ74" s="82"/>
      <c r="CK74" s="82"/>
      <c r="CL74" s="153" t="s">
        <v>799</v>
      </c>
      <c r="CM74" s="290">
        <f>CM27</f>
        <v>3</v>
      </c>
      <c r="CN74" s="291"/>
      <c r="CO74" s="291"/>
      <c r="CP74" s="291"/>
      <c r="CQ74" s="292"/>
      <c r="CR74" s="82"/>
      <c r="CS74" s="157"/>
      <c r="CT74" s="153" t="s">
        <v>799</v>
      </c>
      <c r="CU74" s="290">
        <f>CU27</f>
        <v>2</v>
      </c>
      <c r="CV74" s="291"/>
      <c r="CW74" s="291"/>
      <c r="CX74" s="291"/>
      <c r="CY74" s="292"/>
    </row>
    <row r="75" spans="2:103" ht="30" hidden="1" customHeight="1">
      <c r="D75" s="117"/>
      <c r="E75" s="117"/>
      <c r="F75" s="117"/>
      <c r="G75" s="117"/>
      <c r="H75" s="112"/>
      <c r="I75" s="85"/>
      <c r="K75" s="153" t="s">
        <v>777</v>
      </c>
      <c r="L75" s="289">
        <f>L48+L25+L26</f>
        <v>9</v>
      </c>
      <c r="M75" s="289"/>
      <c r="N75" s="289"/>
      <c r="O75" s="289"/>
      <c r="P75" s="289"/>
      <c r="Q75" s="85"/>
      <c r="R75" s="153" t="s">
        <v>777</v>
      </c>
      <c r="S75" s="289">
        <f>S48+S25+S26</f>
        <v>9</v>
      </c>
      <c r="T75" s="289"/>
      <c r="U75" s="289"/>
      <c r="V75" s="289"/>
      <c r="W75" s="289"/>
      <c r="X75" s="87"/>
      <c r="Y75" s="117"/>
      <c r="Z75" s="153" t="s">
        <v>777</v>
      </c>
      <c r="AA75" s="289">
        <f>AA48+AA25+AA26</f>
        <v>10</v>
      </c>
      <c r="AB75" s="289"/>
      <c r="AC75" s="289"/>
      <c r="AD75" s="289"/>
      <c r="AE75" s="289"/>
      <c r="AF75" s="112"/>
      <c r="AG75" s="117"/>
      <c r="AH75" s="153" t="s">
        <v>777</v>
      </c>
      <c r="AI75" s="289">
        <f>AI48+AI25+AI26</f>
        <v>10</v>
      </c>
      <c r="AJ75" s="289"/>
      <c r="AK75" s="289"/>
      <c r="AL75" s="289"/>
      <c r="AM75" s="289"/>
      <c r="AP75" s="153" t="s">
        <v>777</v>
      </c>
      <c r="AQ75" s="289">
        <f>AQ48+AQ25+AQ26</f>
        <v>10</v>
      </c>
      <c r="AR75" s="289"/>
      <c r="AS75" s="289"/>
      <c r="AT75" s="289"/>
      <c r="AU75" s="289"/>
      <c r="AX75" s="153" t="s">
        <v>777</v>
      </c>
      <c r="AY75" s="289">
        <f>AY48+AY25+AY26</f>
        <v>10</v>
      </c>
      <c r="AZ75" s="289"/>
      <c r="BA75" s="289"/>
      <c r="BB75" s="289"/>
      <c r="BC75" s="289"/>
      <c r="BF75" s="153" t="s">
        <v>777</v>
      </c>
      <c r="BG75" s="289">
        <f>BG48+BG25+BG26</f>
        <v>10</v>
      </c>
      <c r="BH75" s="289"/>
      <c r="BI75" s="289"/>
      <c r="BJ75" s="289"/>
      <c r="BK75" s="289"/>
      <c r="BL75" s="87"/>
      <c r="BM75" s="117"/>
      <c r="BN75" s="153" t="s">
        <v>777</v>
      </c>
      <c r="BO75" s="289">
        <f>BO48+BO25+BO26</f>
        <v>10</v>
      </c>
      <c r="BP75" s="289"/>
      <c r="BQ75" s="289"/>
      <c r="BR75" s="289"/>
      <c r="BS75" s="289"/>
      <c r="BT75" s="112"/>
      <c r="BU75" s="117"/>
      <c r="BV75" s="153" t="s">
        <v>777</v>
      </c>
      <c r="BW75" s="289">
        <f>BW48+BW25+BW26</f>
        <v>10</v>
      </c>
      <c r="BX75" s="289"/>
      <c r="BY75" s="289"/>
      <c r="BZ75" s="289"/>
      <c r="CA75" s="289"/>
      <c r="CB75" s="82"/>
      <c r="CC75" s="82"/>
      <c r="CD75" s="153" t="s">
        <v>777</v>
      </c>
      <c r="CE75" s="289">
        <f>CE48+CE25+CE26</f>
        <v>10</v>
      </c>
      <c r="CF75" s="289"/>
      <c r="CG75" s="289"/>
      <c r="CH75" s="289"/>
      <c r="CI75" s="289"/>
      <c r="CJ75" s="82"/>
      <c r="CK75" s="82"/>
      <c r="CL75" s="153" t="s">
        <v>777</v>
      </c>
      <c r="CM75" s="289">
        <f>CM48+CM25+CM26</f>
        <v>10</v>
      </c>
      <c r="CN75" s="289"/>
      <c r="CO75" s="289"/>
      <c r="CP75" s="289"/>
      <c r="CQ75" s="289"/>
      <c r="CR75" s="82"/>
      <c r="CS75" s="157"/>
      <c r="CT75" s="153" t="s">
        <v>777</v>
      </c>
      <c r="CU75" s="289">
        <f>CU48+CU25+CU26</f>
        <v>6</v>
      </c>
      <c r="CV75" s="289"/>
      <c r="CW75" s="289"/>
      <c r="CX75" s="289"/>
      <c r="CY75" s="289"/>
    </row>
    <row r="76" spans="2:103" ht="30" hidden="1" customHeight="1">
      <c r="D76" s="117"/>
      <c r="E76" s="117"/>
      <c r="F76" s="117"/>
      <c r="G76" s="117"/>
      <c r="H76" s="112"/>
      <c r="I76" s="85"/>
      <c r="K76" s="153" t="s">
        <v>778</v>
      </c>
      <c r="L76" s="289">
        <f>L18+L19+L47</f>
        <v>9</v>
      </c>
      <c r="M76" s="289"/>
      <c r="N76" s="289"/>
      <c r="O76" s="289"/>
      <c r="P76" s="289"/>
      <c r="Q76" s="85"/>
      <c r="R76" s="153" t="s">
        <v>778</v>
      </c>
      <c r="S76" s="289">
        <f>S18+S19+S47</f>
        <v>9</v>
      </c>
      <c r="T76" s="289"/>
      <c r="U76" s="289"/>
      <c r="V76" s="289"/>
      <c r="W76" s="289"/>
      <c r="X76" s="87"/>
      <c r="Y76" s="117"/>
      <c r="Z76" s="153" t="s">
        <v>778</v>
      </c>
      <c r="AA76" s="289">
        <f>AA18+AA19+AA47</f>
        <v>10</v>
      </c>
      <c r="AB76" s="289"/>
      <c r="AC76" s="289"/>
      <c r="AD76" s="289"/>
      <c r="AE76" s="289"/>
      <c r="AF76" s="112"/>
      <c r="AG76" s="117"/>
      <c r="AH76" s="153" t="s">
        <v>778</v>
      </c>
      <c r="AI76" s="289">
        <f>AI18+AI19+AI47</f>
        <v>10</v>
      </c>
      <c r="AJ76" s="289"/>
      <c r="AK76" s="289"/>
      <c r="AL76" s="289"/>
      <c r="AM76" s="289"/>
      <c r="AP76" s="153" t="s">
        <v>778</v>
      </c>
      <c r="AQ76" s="289">
        <f>AQ18+AQ19+AQ47</f>
        <v>10</v>
      </c>
      <c r="AR76" s="289"/>
      <c r="AS76" s="289"/>
      <c r="AT76" s="289"/>
      <c r="AU76" s="289"/>
      <c r="AX76" s="153" t="s">
        <v>778</v>
      </c>
      <c r="AY76" s="289">
        <f>AY18+AY19+AY47</f>
        <v>10</v>
      </c>
      <c r="AZ76" s="289"/>
      <c r="BA76" s="289"/>
      <c r="BB76" s="289"/>
      <c r="BC76" s="289"/>
      <c r="BF76" s="153" t="s">
        <v>778</v>
      </c>
      <c r="BG76" s="289">
        <f>BG18+BG19+BG47</f>
        <v>10</v>
      </c>
      <c r="BH76" s="289"/>
      <c r="BI76" s="289"/>
      <c r="BJ76" s="289"/>
      <c r="BK76" s="289"/>
      <c r="BL76" s="87"/>
      <c r="BM76" s="117"/>
      <c r="BN76" s="153" t="s">
        <v>778</v>
      </c>
      <c r="BO76" s="289">
        <f>BO18+BO19+BO47</f>
        <v>10</v>
      </c>
      <c r="BP76" s="289"/>
      <c r="BQ76" s="289"/>
      <c r="BR76" s="289"/>
      <c r="BS76" s="289"/>
      <c r="BT76" s="112"/>
      <c r="BU76" s="117"/>
      <c r="BV76" s="153" t="s">
        <v>778</v>
      </c>
      <c r="BW76" s="289">
        <f>BW18+BW19+BW47</f>
        <v>10</v>
      </c>
      <c r="BX76" s="289"/>
      <c r="BY76" s="289"/>
      <c r="BZ76" s="289"/>
      <c r="CA76" s="289"/>
      <c r="CB76" s="82"/>
      <c r="CC76" s="82"/>
      <c r="CD76" s="153" t="s">
        <v>778</v>
      </c>
      <c r="CE76" s="289">
        <f>CE18+CE19+CE47</f>
        <v>10</v>
      </c>
      <c r="CF76" s="289"/>
      <c r="CG76" s="289"/>
      <c r="CH76" s="289"/>
      <c r="CI76" s="289"/>
      <c r="CJ76" s="82"/>
      <c r="CK76" s="82"/>
      <c r="CL76" s="153" t="s">
        <v>778</v>
      </c>
      <c r="CM76" s="289">
        <f>CM18+CM19+CM47</f>
        <v>10</v>
      </c>
      <c r="CN76" s="289"/>
      <c r="CO76" s="289"/>
      <c r="CP76" s="289"/>
      <c r="CQ76" s="289"/>
      <c r="CR76" s="82"/>
      <c r="CS76" s="157"/>
      <c r="CT76" s="153" t="s">
        <v>778</v>
      </c>
      <c r="CU76" s="289">
        <f>CU18+CU19+CU47</f>
        <v>6</v>
      </c>
      <c r="CV76" s="289"/>
      <c r="CW76" s="289"/>
      <c r="CX76" s="289"/>
      <c r="CY76" s="289"/>
    </row>
    <row r="77" spans="2:103" ht="30" hidden="1" customHeight="1">
      <c r="D77" s="117"/>
      <c r="E77" s="117"/>
      <c r="F77" s="117"/>
      <c r="G77" s="117"/>
      <c r="H77" s="112"/>
      <c r="I77" s="85"/>
      <c r="K77" s="153" t="s">
        <v>779</v>
      </c>
      <c r="L77" s="289">
        <f>L54+L34+L35</f>
        <v>9</v>
      </c>
      <c r="M77" s="289"/>
      <c r="N77" s="289"/>
      <c r="O77" s="289"/>
      <c r="P77" s="289"/>
      <c r="Q77" s="85"/>
      <c r="R77" s="153" t="s">
        <v>779</v>
      </c>
      <c r="S77" s="289">
        <f>S54+S34+S35</f>
        <v>9</v>
      </c>
      <c r="T77" s="289"/>
      <c r="U77" s="289"/>
      <c r="V77" s="289"/>
      <c r="W77" s="289"/>
      <c r="X77" s="87"/>
      <c r="Y77" s="117"/>
      <c r="Z77" s="153" t="s">
        <v>779</v>
      </c>
      <c r="AA77" s="289">
        <f>AA54+AA34+AA35</f>
        <v>10</v>
      </c>
      <c r="AB77" s="289"/>
      <c r="AC77" s="289"/>
      <c r="AD77" s="289"/>
      <c r="AE77" s="289"/>
      <c r="AF77" s="112"/>
      <c r="AG77" s="117"/>
      <c r="AH77" s="153" t="s">
        <v>779</v>
      </c>
      <c r="AI77" s="289">
        <f>AI54+AI34+AI35</f>
        <v>11</v>
      </c>
      <c r="AJ77" s="289"/>
      <c r="AK77" s="289"/>
      <c r="AL77" s="289"/>
      <c r="AM77" s="289"/>
      <c r="AP77" s="153" t="s">
        <v>779</v>
      </c>
      <c r="AQ77" s="289">
        <f>AQ54+AQ34+AQ35</f>
        <v>12</v>
      </c>
      <c r="AR77" s="289"/>
      <c r="AS77" s="289"/>
      <c r="AT77" s="289"/>
      <c r="AU77" s="289"/>
      <c r="AX77" s="153" t="s">
        <v>779</v>
      </c>
      <c r="AY77" s="289">
        <f>AY54+AY34+AY35</f>
        <v>12</v>
      </c>
      <c r="AZ77" s="289"/>
      <c r="BA77" s="289"/>
      <c r="BB77" s="289"/>
      <c r="BC77" s="289"/>
      <c r="BF77" s="153" t="s">
        <v>779</v>
      </c>
      <c r="BG77" s="289">
        <f>BG54+BG34+BG35</f>
        <v>12</v>
      </c>
      <c r="BH77" s="289"/>
      <c r="BI77" s="289"/>
      <c r="BJ77" s="289"/>
      <c r="BK77" s="289"/>
      <c r="BL77" s="87"/>
      <c r="BM77" s="117"/>
      <c r="BN77" s="153" t="s">
        <v>779</v>
      </c>
      <c r="BO77" s="289">
        <f>BO54+BO34+BO35</f>
        <v>12</v>
      </c>
      <c r="BP77" s="289"/>
      <c r="BQ77" s="289"/>
      <c r="BR77" s="289"/>
      <c r="BS77" s="289"/>
      <c r="BT77" s="112"/>
      <c r="BU77" s="117"/>
      <c r="BV77" s="153" t="s">
        <v>779</v>
      </c>
      <c r="BW77" s="289">
        <f>BW54+BW34+BW35</f>
        <v>12</v>
      </c>
      <c r="BX77" s="289"/>
      <c r="BY77" s="289"/>
      <c r="BZ77" s="289"/>
      <c r="CA77" s="289"/>
      <c r="CB77" s="82"/>
      <c r="CC77" s="82"/>
      <c r="CD77" s="153" t="s">
        <v>779</v>
      </c>
      <c r="CE77" s="289">
        <f>CE54+CE34+CE35</f>
        <v>12</v>
      </c>
      <c r="CF77" s="289"/>
      <c r="CG77" s="289"/>
      <c r="CH77" s="289"/>
      <c r="CI77" s="289"/>
      <c r="CJ77" s="82"/>
      <c r="CK77" s="82"/>
      <c r="CL77" s="153" t="s">
        <v>779</v>
      </c>
      <c r="CM77" s="289">
        <f>CM54+CM34+CM35</f>
        <v>12</v>
      </c>
      <c r="CN77" s="289"/>
      <c r="CO77" s="289"/>
      <c r="CP77" s="289"/>
      <c r="CQ77" s="289"/>
      <c r="CR77" s="82"/>
      <c r="CS77" s="157"/>
      <c r="CT77" s="153" t="s">
        <v>779</v>
      </c>
      <c r="CU77" s="289">
        <f>CU54+CU34+CU35</f>
        <v>6</v>
      </c>
      <c r="CV77" s="289"/>
      <c r="CW77" s="289"/>
      <c r="CX77" s="289"/>
      <c r="CY77" s="289"/>
    </row>
    <row r="78" spans="2:103" ht="30" hidden="1" customHeight="1">
      <c r="D78" s="117"/>
      <c r="E78" s="117"/>
      <c r="F78" s="117"/>
      <c r="G78" s="117"/>
      <c r="H78" s="112"/>
      <c r="I78" s="85"/>
      <c r="K78" s="153" t="s">
        <v>780</v>
      </c>
      <c r="L78" s="289">
        <f>L56+L36</f>
        <v>6</v>
      </c>
      <c r="M78" s="289"/>
      <c r="N78" s="289"/>
      <c r="O78" s="289"/>
      <c r="P78" s="289"/>
      <c r="Q78" s="85"/>
      <c r="R78" s="153" t="s">
        <v>780</v>
      </c>
      <c r="S78" s="289">
        <f>S56+S36</f>
        <v>6</v>
      </c>
      <c r="T78" s="289"/>
      <c r="U78" s="289"/>
      <c r="V78" s="289"/>
      <c r="W78" s="289"/>
      <c r="X78" s="87"/>
      <c r="Y78" s="117"/>
      <c r="Z78" s="153" t="s">
        <v>780</v>
      </c>
      <c r="AA78" s="289">
        <f>AA56+AA36</f>
        <v>6</v>
      </c>
      <c r="AB78" s="289"/>
      <c r="AC78" s="289"/>
      <c r="AD78" s="289"/>
      <c r="AE78" s="289"/>
      <c r="AF78" s="112"/>
      <c r="AG78" s="117"/>
      <c r="AH78" s="153" t="s">
        <v>780</v>
      </c>
      <c r="AI78" s="289">
        <f>AI56+AI36</f>
        <v>6</v>
      </c>
      <c r="AJ78" s="289"/>
      <c r="AK78" s="289"/>
      <c r="AL78" s="289"/>
      <c r="AM78" s="289"/>
      <c r="AP78" s="153" t="s">
        <v>780</v>
      </c>
      <c r="AQ78" s="289">
        <f>AQ56+AQ36</f>
        <v>6</v>
      </c>
      <c r="AR78" s="289"/>
      <c r="AS78" s="289"/>
      <c r="AT78" s="289"/>
      <c r="AU78" s="289"/>
      <c r="AX78" s="153" t="s">
        <v>780</v>
      </c>
      <c r="AY78" s="289">
        <f>AY56+AY36</f>
        <v>6</v>
      </c>
      <c r="AZ78" s="289"/>
      <c r="BA78" s="289"/>
      <c r="BB78" s="289"/>
      <c r="BC78" s="289"/>
      <c r="BF78" s="153" t="s">
        <v>780</v>
      </c>
      <c r="BG78" s="289">
        <f>BG56+BG36</f>
        <v>6</v>
      </c>
      <c r="BH78" s="289"/>
      <c r="BI78" s="289"/>
      <c r="BJ78" s="289"/>
      <c r="BK78" s="289"/>
      <c r="BL78" s="87"/>
      <c r="BM78" s="117"/>
      <c r="BN78" s="153" t="s">
        <v>780</v>
      </c>
      <c r="BO78" s="289">
        <f>BO56+BO36</f>
        <v>6</v>
      </c>
      <c r="BP78" s="289"/>
      <c r="BQ78" s="289"/>
      <c r="BR78" s="289"/>
      <c r="BS78" s="289"/>
      <c r="BT78" s="112"/>
      <c r="BU78" s="117"/>
      <c r="BV78" s="153" t="s">
        <v>780</v>
      </c>
      <c r="BW78" s="289">
        <f>BW56+BW36</f>
        <v>6</v>
      </c>
      <c r="BX78" s="289"/>
      <c r="BY78" s="289"/>
      <c r="BZ78" s="289"/>
      <c r="CA78" s="289"/>
      <c r="CB78" s="82"/>
      <c r="CC78" s="82"/>
      <c r="CD78" s="153" t="s">
        <v>780</v>
      </c>
      <c r="CE78" s="289">
        <f>CE56+CE36</f>
        <v>6</v>
      </c>
      <c r="CF78" s="289"/>
      <c r="CG78" s="289"/>
      <c r="CH78" s="289"/>
      <c r="CI78" s="289"/>
      <c r="CJ78" s="82"/>
      <c r="CK78" s="82"/>
      <c r="CL78" s="153" t="s">
        <v>780</v>
      </c>
      <c r="CM78" s="289">
        <f>CM56+CM36</f>
        <v>6</v>
      </c>
      <c r="CN78" s="289"/>
      <c r="CO78" s="289"/>
      <c r="CP78" s="289"/>
      <c r="CQ78" s="289"/>
      <c r="CR78" s="82"/>
      <c r="CS78" s="157"/>
      <c r="CT78" s="153" t="s">
        <v>780</v>
      </c>
      <c r="CU78" s="289">
        <f>CU56+CU36</f>
        <v>4</v>
      </c>
      <c r="CV78" s="289"/>
      <c r="CW78" s="289"/>
      <c r="CX78" s="289"/>
      <c r="CY78" s="289"/>
    </row>
    <row r="79" spans="2:103" ht="30" hidden="1" customHeight="1">
      <c r="D79" s="112"/>
      <c r="E79" s="112"/>
      <c r="F79" s="112"/>
      <c r="G79" s="112"/>
      <c r="H79" s="112"/>
      <c r="I79" s="87"/>
      <c r="K79" s="153" t="s">
        <v>786</v>
      </c>
      <c r="L79" s="290">
        <v>0</v>
      </c>
      <c r="M79" s="291"/>
      <c r="N79" s="291"/>
      <c r="O79" s="291"/>
      <c r="P79" s="292"/>
      <c r="Q79" s="87"/>
      <c r="R79" s="153" t="s">
        <v>786</v>
      </c>
      <c r="S79" s="290">
        <v>0</v>
      </c>
      <c r="T79" s="291"/>
      <c r="U79" s="291"/>
      <c r="V79" s="291"/>
      <c r="W79" s="292"/>
      <c r="X79" s="87"/>
      <c r="Y79" s="112"/>
      <c r="Z79" s="153" t="s">
        <v>786</v>
      </c>
      <c r="AA79" s="290">
        <v>0</v>
      </c>
      <c r="AB79" s="291"/>
      <c r="AC79" s="291"/>
      <c r="AD79" s="291"/>
      <c r="AE79" s="292"/>
      <c r="AF79" s="112"/>
      <c r="AG79" s="112"/>
      <c r="AH79" s="153" t="s">
        <v>786</v>
      </c>
      <c r="AI79" s="290">
        <v>0</v>
      </c>
      <c r="AJ79" s="291"/>
      <c r="AK79" s="291"/>
      <c r="AL79" s="291"/>
      <c r="AM79" s="292"/>
      <c r="AP79" s="153" t="s">
        <v>786</v>
      </c>
      <c r="AQ79" s="290">
        <v>0</v>
      </c>
      <c r="AR79" s="291"/>
      <c r="AS79" s="291"/>
      <c r="AT79" s="291"/>
      <c r="AU79" s="292"/>
      <c r="AX79" s="153" t="s">
        <v>786</v>
      </c>
      <c r="AY79" s="290">
        <v>0</v>
      </c>
      <c r="AZ79" s="291"/>
      <c r="BA79" s="291"/>
      <c r="BB79" s="291"/>
      <c r="BC79" s="292"/>
      <c r="BF79" s="153" t="s">
        <v>786</v>
      </c>
      <c r="BG79" s="290">
        <v>0</v>
      </c>
      <c r="BH79" s="291"/>
      <c r="BI79" s="291"/>
      <c r="BJ79" s="291"/>
      <c r="BK79" s="292"/>
      <c r="BL79" s="87"/>
      <c r="BM79" s="112"/>
      <c r="BN79" s="153" t="s">
        <v>786</v>
      </c>
      <c r="BO79" s="290">
        <v>0</v>
      </c>
      <c r="BP79" s="291"/>
      <c r="BQ79" s="291"/>
      <c r="BR79" s="291"/>
      <c r="BS79" s="292"/>
      <c r="BT79" s="112"/>
      <c r="BU79" s="112"/>
      <c r="BV79" s="153" t="s">
        <v>786</v>
      </c>
      <c r="BW79" s="290">
        <v>0</v>
      </c>
      <c r="BX79" s="291"/>
      <c r="BY79" s="291"/>
      <c r="BZ79" s="291"/>
      <c r="CA79" s="292"/>
      <c r="CB79" s="82"/>
      <c r="CC79" s="82"/>
      <c r="CD79" s="153" t="s">
        <v>786</v>
      </c>
      <c r="CE79" s="290">
        <v>0</v>
      </c>
      <c r="CF79" s="291"/>
      <c r="CG79" s="291"/>
      <c r="CH79" s="291"/>
      <c r="CI79" s="292"/>
      <c r="CJ79" s="82"/>
      <c r="CK79" s="82"/>
      <c r="CL79" s="153" t="s">
        <v>786</v>
      </c>
      <c r="CM79" s="290">
        <v>0</v>
      </c>
      <c r="CN79" s="291"/>
      <c r="CO79" s="291"/>
      <c r="CP79" s="291"/>
      <c r="CQ79" s="292"/>
      <c r="CR79" s="82"/>
      <c r="CS79" s="157"/>
      <c r="CT79" s="153" t="s">
        <v>786</v>
      </c>
      <c r="CU79" s="290">
        <v>0</v>
      </c>
      <c r="CV79" s="291"/>
      <c r="CW79" s="291"/>
      <c r="CX79" s="291"/>
      <c r="CY79" s="292"/>
    </row>
    <row r="80" spans="2:103" ht="30" hidden="1" customHeight="1">
      <c r="D80" s="117"/>
      <c r="E80" s="117"/>
      <c r="F80" s="117"/>
      <c r="G80" s="117"/>
      <c r="H80" s="112"/>
      <c r="I80" s="85"/>
      <c r="K80" s="153" t="s">
        <v>783</v>
      </c>
      <c r="L80" s="289" t="e">
        <f>#REF!+L37</f>
        <v>#REF!</v>
      </c>
      <c r="M80" s="289"/>
      <c r="N80" s="289"/>
      <c r="O80" s="289"/>
      <c r="P80" s="289"/>
      <c r="Q80" s="85"/>
      <c r="R80" s="153" t="s">
        <v>783</v>
      </c>
      <c r="S80" s="289" t="e">
        <f>#REF!+S37</f>
        <v>#REF!</v>
      </c>
      <c r="T80" s="289"/>
      <c r="U80" s="289"/>
      <c r="V80" s="289"/>
      <c r="W80" s="289"/>
      <c r="X80" s="87"/>
      <c r="Y80" s="117"/>
      <c r="Z80" s="153" t="s">
        <v>783</v>
      </c>
      <c r="AA80" s="289" t="e">
        <f>#REF!+AA37</f>
        <v>#REF!</v>
      </c>
      <c r="AB80" s="289"/>
      <c r="AC80" s="289"/>
      <c r="AD80" s="289"/>
      <c r="AE80" s="289"/>
      <c r="AF80" s="112"/>
      <c r="AG80" s="117"/>
      <c r="AH80" s="153" t="s">
        <v>783</v>
      </c>
      <c r="AI80" s="289" t="e">
        <f>#REF!+AI37</f>
        <v>#REF!</v>
      </c>
      <c r="AJ80" s="289"/>
      <c r="AK80" s="289"/>
      <c r="AL80" s="289"/>
      <c r="AM80" s="289"/>
      <c r="AP80" s="153" t="s">
        <v>783</v>
      </c>
      <c r="AQ80" s="289" t="e">
        <f>#REF!+AQ37</f>
        <v>#REF!</v>
      </c>
      <c r="AR80" s="289"/>
      <c r="AS80" s="289"/>
      <c r="AT80" s="289"/>
      <c r="AU80" s="289"/>
      <c r="AX80" s="153" t="s">
        <v>783</v>
      </c>
      <c r="AY80" s="289" t="e">
        <f>#REF!+AY37</f>
        <v>#REF!</v>
      </c>
      <c r="AZ80" s="289"/>
      <c r="BA80" s="289"/>
      <c r="BB80" s="289"/>
      <c r="BC80" s="289"/>
      <c r="BF80" s="153" t="s">
        <v>783</v>
      </c>
      <c r="BG80" s="289" t="e">
        <f>#REF!+BG37</f>
        <v>#REF!</v>
      </c>
      <c r="BH80" s="289"/>
      <c r="BI80" s="289"/>
      <c r="BJ80" s="289"/>
      <c r="BK80" s="289"/>
      <c r="BL80" s="87"/>
      <c r="BM80" s="117"/>
      <c r="BN80" s="153" t="s">
        <v>783</v>
      </c>
      <c r="BO80" s="289" t="e">
        <f>#REF!+BO37</f>
        <v>#REF!</v>
      </c>
      <c r="BP80" s="289"/>
      <c r="BQ80" s="289"/>
      <c r="BR80" s="289"/>
      <c r="BS80" s="289"/>
      <c r="BT80" s="112"/>
      <c r="BU80" s="117"/>
      <c r="BV80" s="153" t="s">
        <v>783</v>
      </c>
      <c r="BW80" s="289" t="e">
        <f>#REF!+BW37</f>
        <v>#REF!</v>
      </c>
      <c r="BX80" s="289"/>
      <c r="BY80" s="289"/>
      <c r="BZ80" s="289"/>
      <c r="CA80" s="289"/>
      <c r="CB80" s="82"/>
      <c r="CC80" s="82"/>
      <c r="CD80" s="153" t="s">
        <v>783</v>
      </c>
      <c r="CE80" s="289" t="e">
        <f>#REF!+CE37</f>
        <v>#REF!</v>
      </c>
      <c r="CF80" s="289"/>
      <c r="CG80" s="289"/>
      <c r="CH80" s="289"/>
      <c r="CI80" s="289"/>
      <c r="CJ80" s="82"/>
      <c r="CK80" s="82"/>
      <c r="CL80" s="153" t="s">
        <v>783</v>
      </c>
      <c r="CM80" s="289" t="e">
        <f>#REF!+CM37</f>
        <v>#REF!</v>
      </c>
      <c r="CN80" s="289"/>
      <c r="CO80" s="289"/>
      <c r="CP80" s="289"/>
      <c r="CQ80" s="289"/>
      <c r="CR80" s="82"/>
      <c r="CS80" s="157"/>
      <c r="CT80" s="153" t="s">
        <v>783</v>
      </c>
      <c r="CU80" s="289" t="e">
        <f>#REF!+CU37</f>
        <v>#REF!</v>
      </c>
      <c r="CV80" s="289"/>
      <c r="CW80" s="289"/>
      <c r="CX80" s="289"/>
      <c r="CY80" s="289"/>
    </row>
    <row r="81" spans="4:103" ht="30" hidden="1" customHeight="1">
      <c r="D81" s="117"/>
      <c r="E81" s="117"/>
      <c r="F81" s="117"/>
      <c r="G81" s="117"/>
      <c r="H81" s="112"/>
      <c r="I81" s="85"/>
      <c r="K81" s="153" t="s">
        <v>781</v>
      </c>
      <c r="L81" s="289">
        <v>0</v>
      </c>
      <c r="M81" s="289"/>
      <c r="N81" s="289"/>
      <c r="O81" s="289"/>
      <c r="P81" s="289"/>
      <c r="Q81" s="85"/>
      <c r="R81" s="153" t="s">
        <v>781</v>
      </c>
      <c r="S81" s="289">
        <v>0</v>
      </c>
      <c r="T81" s="289"/>
      <c r="U81" s="289"/>
      <c r="V81" s="289"/>
      <c r="W81" s="289"/>
      <c r="X81" s="87"/>
      <c r="Y81" s="117"/>
      <c r="Z81" s="153" t="s">
        <v>781</v>
      </c>
      <c r="AA81" s="289">
        <v>0</v>
      </c>
      <c r="AB81" s="289"/>
      <c r="AC81" s="289"/>
      <c r="AD81" s="289"/>
      <c r="AE81" s="289"/>
      <c r="AF81" s="112"/>
      <c r="AG81" s="117"/>
      <c r="AH81" s="153" t="s">
        <v>781</v>
      </c>
      <c r="AI81" s="289">
        <v>0</v>
      </c>
      <c r="AJ81" s="289"/>
      <c r="AK81" s="289"/>
      <c r="AL81" s="289"/>
      <c r="AM81" s="289"/>
      <c r="AP81" s="153" t="s">
        <v>781</v>
      </c>
      <c r="AQ81" s="289">
        <v>0</v>
      </c>
      <c r="AR81" s="289"/>
      <c r="AS81" s="289"/>
      <c r="AT81" s="289"/>
      <c r="AU81" s="289"/>
      <c r="AX81" s="153" t="s">
        <v>781</v>
      </c>
      <c r="AY81" s="289">
        <v>0</v>
      </c>
      <c r="AZ81" s="289"/>
      <c r="BA81" s="289"/>
      <c r="BB81" s="289"/>
      <c r="BC81" s="289"/>
      <c r="BF81" s="153" t="s">
        <v>781</v>
      </c>
      <c r="BG81" s="289">
        <v>0</v>
      </c>
      <c r="BH81" s="289"/>
      <c r="BI81" s="289"/>
      <c r="BJ81" s="289"/>
      <c r="BK81" s="289"/>
      <c r="BL81" s="87"/>
      <c r="BM81" s="117"/>
      <c r="BN81" s="153" t="s">
        <v>781</v>
      </c>
      <c r="BO81" s="289">
        <v>0</v>
      </c>
      <c r="BP81" s="289"/>
      <c r="BQ81" s="289"/>
      <c r="BR81" s="289"/>
      <c r="BS81" s="289"/>
      <c r="BT81" s="112"/>
      <c r="BU81" s="117"/>
      <c r="BV81" s="153" t="s">
        <v>781</v>
      </c>
      <c r="BW81" s="289">
        <v>0</v>
      </c>
      <c r="BX81" s="289"/>
      <c r="BY81" s="289"/>
      <c r="BZ81" s="289"/>
      <c r="CA81" s="289"/>
      <c r="CB81" s="82"/>
      <c r="CC81" s="82"/>
      <c r="CD81" s="153" t="s">
        <v>781</v>
      </c>
      <c r="CE81" s="289">
        <v>0</v>
      </c>
      <c r="CF81" s="289"/>
      <c r="CG81" s="289"/>
      <c r="CH81" s="289"/>
      <c r="CI81" s="289"/>
      <c r="CJ81" s="82"/>
      <c r="CK81" s="82"/>
      <c r="CL81" s="153" t="s">
        <v>781</v>
      </c>
      <c r="CM81" s="289">
        <v>0</v>
      </c>
      <c r="CN81" s="289"/>
      <c r="CO81" s="289"/>
      <c r="CP81" s="289"/>
      <c r="CQ81" s="289"/>
      <c r="CR81" s="82"/>
      <c r="CS81" s="157"/>
      <c r="CT81" s="153" t="s">
        <v>781</v>
      </c>
      <c r="CU81" s="289">
        <v>0</v>
      </c>
      <c r="CV81" s="289"/>
      <c r="CW81" s="289"/>
      <c r="CX81" s="289"/>
      <c r="CY81" s="289"/>
    </row>
    <row r="82" spans="4:103" ht="30" hidden="1" customHeight="1">
      <c r="D82" s="117"/>
      <c r="E82" s="117"/>
      <c r="F82" s="117"/>
      <c r="G82" s="117"/>
      <c r="H82" s="112"/>
      <c r="I82" s="85"/>
      <c r="K82" s="153" t="s">
        <v>784</v>
      </c>
      <c r="L82" s="289" t="e">
        <f>L57+#REF!</f>
        <v>#REF!</v>
      </c>
      <c r="M82" s="289"/>
      <c r="N82" s="289"/>
      <c r="O82" s="289"/>
      <c r="P82" s="289"/>
      <c r="Q82" s="85"/>
      <c r="R82" s="153" t="s">
        <v>784</v>
      </c>
      <c r="S82" s="289" t="e">
        <f>S57+#REF!</f>
        <v>#REF!</v>
      </c>
      <c r="T82" s="289"/>
      <c r="U82" s="289"/>
      <c r="V82" s="289"/>
      <c r="W82" s="289"/>
      <c r="X82" s="87"/>
      <c r="Y82" s="117"/>
      <c r="Z82" s="153" t="s">
        <v>784</v>
      </c>
      <c r="AA82" s="289" t="e">
        <f>AA57+#REF!</f>
        <v>#REF!</v>
      </c>
      <c r="AB82" s="289"/>
      <c r="AC82" s="289"/>
      <c r="AD82" s="289"/>
      <c r="AE82" s="289"/>
      <c r="AF82" s="112"/>
      <c r="AG82" s="117"/>
      <c r="AH82" s="153" t="s">
        <v>784</v>
      </c>
      <c r="AI82" s="289" t="e">
        <f>AI57+#REF!</f>
        <v>#REF!</v>
      </c>
      <c r="AJ82" s="289"/>
      <c r="AK82" s="289"/>
      <c r="AL82" s="289"/>
      <c r="AM82" s="289"/>
      <c r="AP82" s="153" t="s">
        <v>784</v>
      </c>
      <c r="AQ82" s="289" t="e">
        <f>AQ57+#REF!</f>
        <v>#REF!</v>
      </c>
      <c r="AR82" s="289"/>
      <c r="AS82" s="289"/>
      <c r="AT82" s="289"/>
      <c r="AU82" s="289"/>
      <c r="AX82" s="153" t="s">
        <v>784</v>
      </c>
      <c r="AY82" s="289" t="e">
        <f>AY57+#REF!</f>
        <v>#REF!</v>
      </c>
      <c r="AZ82" s="289"/>
      <c r="BA82" s="289"/>
      <c r="BB82" s="289"/>
      <c r="BC82" s="289"/>
      <c r="BF82" s="153" t="s">
        <v>784</v>
      </c>
      <c r="BG82" s="289" t="e">
        <f>BG57+#REF!</f>
        <v>#REF!</v>
      </c>
      <c r="BH82" s="289"/>
      <c r="BI82" s="289"/>
      <c r="BJ82" s="289"/>
      <c r="BK82" s="289"/>
      <c r="BL82" s="87"/>
      <c r="BM82" s="117"/>
      <c r="BN82" s="153" t="s">
        <v>784</v>
      </c>
      <c r="BO82" s="289" t="e">
        <f>BO57+#REF!</f>
        <v>#REF!</v>
      </c>
      <c r="BP82" s="289"/>
      <c r="BQ82" s="289"/>
      <c r="BR82" s="289"/>
      <c r="BS82" s="289"/>
      <c r="BT82" s="112"/>
      <c r="BU82" s="117"/>
      <c r="BV82" s="153" t="s">
        <v>784</v>
      </c>
      <c r="BW82" s="289" t="e">
        <f>BW57+#REF!</f>
        <v>#REF!</v>
      </c>
      <c r="BX82" s="289"/>
      <c r="BY82" s="289"/>
      <c r="BZ82" s="289"/>
      <c r="CA82" s="289"/>
      <c r="CB82" s="82"/>
      <c r="CC82" s="82"/>
      <c r="CD82" s="153" t="s">
        <v>784</v>
      </c>
      <c r="CE82" s="289" t="e">
        <f>CE57+#REF!</f>
        <v>#REF!</v>
      </c>
      <c r="CF82" s="289"/>
      <c r="CG82" s="289"/>
      <c r="CH82" s="289"/>
      <c r="CI82" s="289"/>
      <c r="CJ82" s="82"/>
      <c r="CK82" s="82"/>
      <c r="CL82" s="153" t="s">
        <v>784</v>
      </c>
      <c r="CM82" s="289" t="e">
        <f>CM57+#REF!</f>
        <v>#REF!</v>
      </c>
      <c r="CN82" s="289"/>
      <c r="CO82" s="289"/>
      <c r="CP82" s="289"/>
      <c r="CQ82" s="289"/>
      <c r="CR82" s="82"/>
      <c r="CS82" s="157"/>
      <c r="CT82" s="153" t="s">
        <v>784</v>
      </c>
      <c r="CU82" s="289" t="e">
        <f>CU57+#REF!</f>
        <v>#REF!</v>
      </c>
      <c r="CV82" s="289"/>
      <c r="CW82" s="289"/>
      <c r="CX82" s="289"/>
      <c r="CY82" s="289"/>
    </row>
    <row r="83" spans="4:103" ht="30" hidden="1" customHeight="1">
      <c r="D83" s="117"/>
      <c r="E83" s="117"/>
      <c r="F83" s="117"/>
      <c r="G83" s="117"/>
      <c r="H83" s="112"/>
      <c r="I83" s="85"/>
      <c r="K83" s="153" t="s">
        <v>785</v>
      </c>
      <c r="L83" s="289">
        <v>0</v>
      </c>
      <c r="M83" s="289"/>
      <c r="N83" s="289"/>
      <c r="O83" s="289"/>
      <c r="P83" s="289"/>
      <c r="Q83" s="85"/>
      <c r="R83" s="153" t="s">
        <v>785</v>
      </c>
      <c r="S83" s="289">
        <v>0</v>
      </c>
      <c r="T83" s="289"/>
      <c r="U83" s="289"/>
      <c r="V83" s="289"/>
      <c r="W83" s="289"/>
      <c r="X83" s="87"/>
      <c r="Y83" s="117"/>
      <c r="Z83" s="153" t="s">
        <v>785</v>
      </c>
      <c r="AA83" s="289">
        <v>0</v>
      </c>
      <c r="AB83" s="289"/>
      <c r="AC83" s="289"/>
      <c r="AD83" s="289"/>
      <c r="AE83" s="289"/>
      <c r="AF83" s="112"/>
      <c r="AG83" s="117"/>
      <c r="AH83" s="153" t="s">
        <v>785</v>
      </c>
      <c r="AI83" s="289">
        <v>0</v>
      </c>
      <c r="AJ83" s="289"/>
      <c r="AK83" s="289"/>
      <c r="AL83" s="289"/>
      <c r="AM83" s="289"/>
      <c r="AP83" s="153" t="s">
        <v>785</v>
      </c>
      <c r="AQ83" s="289">
        <v>0</v>
      </c>
      <c r="AR83" s="289"/>
      <c r="AS83" s="289"/>
      <c r="AT83" s="289"/>
      <c r="AU83" s="289"/>
      <c r="AX83" s="153" t="s">
        <v>785</v>
      </c>
      <c r="AY83" s="289">
        <v>0</v>
      </c>
      <c r="AZ83" s="289"/>
      <c r="BA83" s="289"/>
      <c r="BB83" s="289"/>
      <c r="BC83" s="289"/>
      <c r="BF83" s="153" t="s">
        <v>785</v>
      </c>
      <c r="BG83" s="289">
        <v>0</v>
      </c>
      <c r="BH83" s="289"/>
      <c r="BI83" s="289"/>
      <c r="BJ83" s="289"/>
      <c r="BK83" s="289"/>
      <c r="BL83" s="87"/>
      <c r="BM83" s="117"/>
      <c r="BN83" s="153" t="s">
        <v>785</v>
      </c>
      <c r="BO83" s="289">
        <v>0</v>
      </c>
      <c r="BP83" s="289"/>
      <c r="BQ83" s="289"/>
      <c r="BR83" s="289"/>
      <c r="BS83" s="289"/>
      <c r="BT83" s="112"/>
      <c r="BU83" s="117"/>
      <c r="BV83" s="153" t="s">
        <v>785</v>
      </c>
      <c r="BW83" s="289">
        <v>0</v>
      </c>
      <c r="BX83" s="289"/>
      <c r="BY83" s="289"/>
      <c r="BZ83" s="289"/>
      <c r="CA83" s="289"/>
      <c r="CB83" s="82"/>
      <c r="CC83" s="82"/>
      <c r="CD83" s="153" t="s">
        <v>785</v>
      </c>
      <c r="CE83" s="289">
        <v>0</v>
      </c>
      <c r="CF83" s="289"/>
      <c r="CG83" s="289"/>
      <c r="CH83" s="289"/>
      <c r="CI83" s="289"/>
      <c r="CJ83" s="82"/>
      <c r="CK83" s="82"/>
      <c r="CL83" s="153" t="s">
        <v>785</v>
      </c>
      <c r="CM83" s="289">
        <v>0</v>
      </c>
      <c r="CN83" s="289"/>
      <c r="CO83" s="289"/>
      <c r="CP83" s="289"/>
      <c r="CQ83" s="289"/>
      <c r="CR83" s="82"/>
      <c r="CS83" s="157"/>
      <c r="CT83" s="153" t="s">
        <v>785</v>
      </c>
      <c r="CU83" s="289">
        <v>0</v>
      </c>
      <c r="CV83" s="289"/>
      <c r="CW83" s="289"/>
      <c r="CX83" s="289"/>
      <c r="CY83" s="289"/>
    </row>
    <row r="84" spans="4:103" ht="30" hidden="1" customHeight="1">
      <c r="D84" s="117"/>
      <c r="E84" s="117"/>
      <c r="F84" s="117"/>
      <c r="G84" s="117"/>
      <c r="H84" s="112"/>
      <c r="I84" s="85"/>
      <c r="K84" s="154" t="s">
        <v>787</v>
      </c>
      <c r="L84" s="284" t="e">
        <f>SUM(L70:P83)</f>
        <v>#REF!</v>
      </c>
      <c r="M84" s="284"/>
      <c r="N84" s="284"/>
      <c r="O84" s="284"/>
      <c r="P84" s="284"/>
      <c r="Q84" s="85"/>
      <c r="R84" s="154" t="s">
        <v>787</v>
      </c>
      <c r="S84" s="284" t="e">
        <f>SUM(S70:W83)</f>
        <v>#REF!</v>
      </c>
      <c r="T84" s="284"/>
      <c r="U84" s="284"/>
      <c r="V84" s="284"/>
      <c r="W84" s="284"/>
      <c r="X84" s="87"/>
      <c r="Y84" s="117"/>
      <c r="Z84" s="154" t="s">
        <v>787</v>
      </c>
      <c r="AA84" s="284" t="e">
        <f>SUM(AA70:AE83)</f>
        <v>#REF!</v>
      </c>
      <c r="AB84" s="284"/>
      <c r="AC84" s="284"/>
      <c r="AD84" s="284"/>
      <c r="AE84" s="284"/>
      <c r="AF84" s="112"/>
      <c r="AG84" s="117"/>
      <c r="AH84" s="154" t="s">
        <v>787</v>
      </c>
      <c r="AI84" s="284" t="e">
        <f>SUM(AI70:AM83)</f>
        <v>#REF!</v>
      </c>
      <c r="AJ84" s="284"/>
      <c r="AK84" s="284"/>
      <c r="AL84" s="284"/>
      <c r="AM84" s="284"/>
      <c r="AP84" s="154" t="s">
        <v>787</v>
      </c>
      <c r="AQ84" s="284" t="e">
        <f>SUM(AQ70:AU83)</f>
        <v>#REF!</v>
      </c>
      <c r="AR84" s="284"/>
      <c r="AS84" s="284"/>
      <c r="AT84" s="284"/>
      <c r="AU84" s="284"/>
      <c r="AX84" s="154" t="s">
        <v>787</v>
      </c>
      <c r="AY84" s="284" t="e">
        <f>SUM(AY70:BC83)</f>
        <v>#REF!</v>
      </c>
      <c r="AZ84" s="284"/>
      <c r="BA84" s="284"/>
      <c r="BB84" s="284"/>
      <c r="BC84" s="284"/>
      <c r="BF84" s="154" t="s">
        <v>787</v>
      </c>
      <c r="BG84" s="284" t="e">
        <f>SUM(BG70:BK83)</f>
        <v>#REF!</v>
      </c>
      <c r="BH84" s="284"/>
      <c r="BI84" s="284"/>
      <c r="BJ84" s="284"/>
      <c r="BK84" s="284"/>
      <c r="BL84" s="87"/>
      <c r="BM84" s="117"/>
      <c r="BN84" s="154" t="s">
        <v>787</v>
      </c>
      <c r="BO84" s="284" t="e">
        <f>SUM(BO70:BS83)</f>
        <v>#REF!</v>
      </c>
      <c r="BP84" s="284"/>
      <c r="BQ84" s="284"/>
      <c r="BR84" s="284"/>
      <c r="BS84" s="284"/>
      <c r="BT84" s="112"/>
      <c r="BU84" s="117"/>
      <c r="BV84" s="154" t="s">
        <v>787</v>
      </c>
      <c r="BW84" s="284" t="e">
        <f>SUM(BW70:CA83)</f>
        <v>#REF!</v>
      </c>
      <c r="BX84" s="284"/>
      <c r="BY84" s="284"/>
      <c r="BZ84" s="284"/>
      <c r="CA84" s="284"/>
      <c r="CB84" s="82"/>
      <c r="CC84" s="82"/>
      <c r="CD84" s="154" t="s">
        <v>787</v>
      </c>
      <c r="CE84" s="284" t="e">
        <f>SUM(CE70:CI83)</f>
        <v>#REF!</v>
      </c>
      <c r="CF84" s="284"/>
      <c r="CG84" s="284"/>
      <c r="CH84" s="284"/>
      <c r="CI84" s="284"/>
      <c r="CJ84" s="82"/>
      <c r="CK84" s="82"/>
      <c r="CL84" s="154" t="s">
        <v>787</v>
      </c>
      <c r="CM84" s="284" t="e">
        <f>SUM(CM70:CQ83)</f>
        <v>#REF!</v>
      </c>
      <c r="CN84" s="284"/>
      <c r="CO84" s="284"/>
      <c r="CP84" s="284"/>
      <c r="CQ84" s="284"/>
      <c r="CR84" s="82"/>
      <c r="CS84" s="158"/>
      <c r="CT84" s="154" t="s">
        <v>787</v>
      </c>
      <c r="CU84" s="284" t="e">
        <f>SUM(CU70:CY83)</f>
        <v>#REF!</v>
      </c>
      <c r="CV84" s="284"/>
      <c r="CW84" s="284"/>
      <c r="CX84" s="284"/>
      <c r="CY84" s="284"/>
    </row>
    <row r="85" spans="4:103" ht="30" hidden="1" customHeight="1">
      <c r="D85" s="117"/>
      <c r="E85" s="117"/>
      <c r="F85" s="117"/>
      <c r="G85" s="117"/>
      <c r="H85" s="112"/>
      <c r="I85" s="85"/>
      <c r="K85" s="154" t="s">
        <v>788</v>
      </c>
      <c r="L85" s="284" t="e">
        <f>SUM(L70:P80)</f>
        <v>#REF!</v>
      </c>
      <c r="M85" s="284"/>
      <c r="N85" s="284"/>
      <c r="O85" s="284"/>
      <c r="P85" s="284"/>
      <c r="Q85" s="85"/>
      <c r="R85" s="154" t="s">
        <v>788</v>
      </c>
      <c r="S85" s="284" t="e">
        <f>SUM(S70:W80)</f>
        <v>#REF!</v>
      </c>
      <c r="T85" s="284"/>
      <c r="U85" s="284"/>
      <c r="V85" s="284"/>
      <c r="W85" s="284"/>
      <c r="X85" s="87"/>
      <c r="Y85" s="117"/>
      <c r="Z85" s="154" t="s">
        <v>788</v>
      </c>
      <c r="AA85" s="284" t="e">
        <f>SUM(AA70:AE80)</f>
        <v>#REF!</v>
      </c>
      <c r="AB85" s="284"/>
      <c r="AC85" s="284"/>
      <c r="AD85" s="284"/>
      <c r="AE85" s="284"/>
      <c r="AF85" s="112"/>
      <c r="AG85" s="117"/>
      <c r="AH85" s="154" t="s">
        <v>788</v>
      </c>
      <c r="AI85" s="284" t="e">
        <f>SUM(AI70:AM80)</f>
        <v>#REF!</v>
      </c>
      <c r="AJ85" s="284"/>
      <c r="AK85" s="284"/>
      <c r="AL85" s="284"/>
      <c r="AM85" s="284"/>
      <c r="AP85" s="154" t="s">
        <v>788</v>
      </c>
      <c r="AQ85" s="284" t="e">
        <f>SUM(AQ70:AU80)</f>
        <v>#REF!</v>
      </c>
      <c r="AR85" s="284"/>
      <c r="AS85" s="284"/>
      <c r="AT85" s="284"/>
      <c r="AU85" s="284"/>
      <c r="AX85" s="154" t="s">
        <v>788</v>
      </c>
      <c r="AY85" s="284" t="e">
        <f>SUM(AY70:BC80)</f>
        <v>#REF!</v>
      </c>
      <c r="AZ85" s="284"/>
      <c r="BA85" s="284"/>
      <c r="BB85" s="284"/>
      <c r="BC85" s="284"/>
      <c r="BF85" s="154" t="s">
        <v>788</v>
      </c>
      <c r="BG85" s="284" t="e">
        <f>SUM(BG70:BK80)</f>
        <v>#REF!</v>
      </c>
      <c r="BH85" s="284"/>
      <c r="BI85" s="284"/>
      <c r="BJ85" s="284"/>
      <c r="BK85" s="284"/>
      <c r="BL85" s="87"/>
      <c r="BM85" s="117"/>
      <c r="BN85" s="154" t="s">
        <v>788</v>
      </c>
      <c r="BO85" s="284" t="e">
        <f>SUM(BO70:BS80)</f>
        <v>#REF!</v>
      </c>
      <c r="BP85" s="284"/>
      <c r="BQ85" s="284"/>
      <c r="BR85" s="284"/>
      <c r="BS85" s="284"/>
      <c r="BT85" s="112"/>
      <c r="BU85" s="117"/>
      <c r="BV85" s="154" t="s">
        <v>788</v>
      </c>
      <c r="BW85" s="284" t="e">
        <f>SUM(BW70:CA80)</f>
        <v>#REF!</v>
      </c>
      <c r="BX85" s="284"/>
      <c r="BY85" s="284"/>
      <c r="BZ85" s="284"/>
      <c r="CA85" s="284"/>
      <c r="CB85" s="82"/>
      <c r="CC85" s="82"/>
      <c r="CD85" s="154" t="s">
        <v>788</v>
      </c>
      <c r="CE85" s="284" t="e">
        <f>SUM(CE70:CI80)</f>
        <v>#REF!</v>
      </c>
      <c r="CF85" s="284"/>
      <c r="CG85" s="284"/>
      <c r="CH85" s="284"/>
      <c r="CI85" s="284"/>
      <c r="CJ85" s="82"/>
      <c r="CK85" s="82"/>
      <c r="CL85" s="154" t="s">
        <v>788</v>
      </c>
      <c r="CM85" s="284" t="e">
        <f>SUM(CM70:CQ80)</f>
        <v>#REF!</v>
      </c>
      <c r="CN85" s="284"/>
      <c r="CO85" s="284"/>
      <c r="CP85" s="284"/>
      <c r="CQ85" s="284"/>
      <c r="CR85" s="82"/>
      <c r="CS85" s="158"/>
      <c r="CT85" s="154" t="s">
        <v>788</v>
      </c>
      <c r="CU85" s="284" t="e">
        <f>SUM(CU70:CY80)</f>
        <v>#REF!</v>
      </c>
      <c r="CV85" s="284"/>
      <c r="CW85" s="284"/>
      <c r="CX85" s="284"/>
      <c r="CY85" s="284"/>
    </row>
    <row r="86" spans="4:103" ht="30" hidden="1" customHeight="1">
      <c r="D86" s="117"/>
      <c r="E86" s="117"/>
      <c r="F86" s="117"/>
      <c r="G86" s="117"/>
      <c r="H86" s="112"/>
      <c r="I86" s="85"/>
      <c r="O86" s="85"/>
      <c r="P86" s="87"/>
      <c r="Q86" s="85"/>
      <c r="R86" s="87"/>
      <c r="T86" s="117"/>
      <c r="U86" s="117"/>
      <c r="V86" s="85"/>
      <c r="W86" s="87"/>
      <c r="X86" s="87"/>
      <c r="Y86" s="117"/>
      <c r="Z86" s="117"/>
      <c r="AB86" s="117"/>
      <c r="AC86" s="112"/>
      <c r="AD86" s="112"/>
      <c r="AE86" s="117"/>
      <c r="AF86" s="112"/>
      <c r="AG86" s="117"/>
      <c r="AH86" s="117"/>
      <c r="BF86" s="87"/>
      <c r="BH86" s="117"/>
      <c r="BI86" s="117"/>
      <c r="BJ86" s="85"/>
      <c r="BK86" s="87"/>
      <c r="BL86" s="87"/>
      <c r="BM86" s="117"/>
      <c r="BN86" s="117"/>
      <c r="BP86" s="117"/>
      <c r="BQ86" s="112"/>
      <c r="BR86" s="112"/>
      <c r="BS86" s="117"/>
      <c r="BT86" s="112"/>
      <c r="BU86" s="117"/>
      <c r="BV86" s="117"/>
      <c r="BX86" s="82"/>
      <c r="BY86" s="82"/>
      <c r="BZ86" s="82"/>
      <c r="CA86" s="82"/>
      <c r="CB86" s="82"/>
      <c r="CC86" s="82"/>
      <c r="CD86" s="82"/>
      <c r="CF86" s="82"/>
      <c r="CG86" s="82"/>
      <c r="CH86" s="82"/>
      <c r="CI86" s="82"/>
      <c r="CJ86" s="82"/>
      <c r="CK86" s="82"/>
      <c r="CL86" s="82"/>
      <c r="CN86" s="82"/>
      <c r="CO86" s="82"/>
      <c r="CP86" s="82"/>
      <c r="CQ86" s="82"/>
      <c r="CR86" s="82"/>
    </row>
    <row r="87" spans="4:103" ht="30" customHeight="1">
      <c r="D87" s="117"/>
      <c r="E87" s="117"/>
      <c r="F87" s="117"/>
      <c r="G87" s="117"/>
      <c r="H87" s="112"/>
      <c r="I87" s="85"/>
      <c r="O87" s="85"/>
      <c r="P87" s="87"/>
      <c r="Q87" s="85"/>
      <c r="R87" s="87"/>
      <c r="T87" s="117"/>
      <c r="U87" s="117"/>
      <c r="V87" s="85"/>
      <c r="W87" s="87"/>
      <c r="X87" s="87"/>
      <c r="Y87" s="117"/>
      <c r="Z87" s="117"/>
      <c r="AB87" s="117"/>
      <c r="AC87" s="112"/>
      <c r="AD87" s="112"/>
      <c r="AE87" s="117"/>
      <c r="AF87" s="112"/>
      <c r="AG87" s="117"/>
      <c r="AH87" s="117"/>
    </row>
    <row r="88" spans="4:103" ht="30" customHeight="1">
      <c r="D88" s="117"/>
      <c r="E88" s="117"/>
      <c r="F88" s="117"/>
      <c r="G88" s="117"/>
      <c r="H88" s="112"/>
      <c r="I88" s="85"/>
      <c r="O88" s="85"/>
      <c r="P88" s="87"/>
      <c r="Q88" s="85"/>
      <c r="R88" s="87"/>
      <c r="T88" s="117"/>
      <c r="U88" s="117"/>
      <c r="V88" s="85"/>
      <c r="W88" s="87"/>
      <c r="X88" s="87"/>
      <c r="Y88" s="117"/>
      <c r="Z88" s="117"/>
      <c r="AB88" s="117"/>
      <c r="AC88" s="112"/>
      <c r="AD88" s="112"/>
      <c r="AE88" s="117"/>
      <c r="AF88" s="112"/>
      <c r="AG88" s="117"/>
      <c r="AH88" s="117"/>
    </row>
    <row r="89" spans="4:103" ht="30" customHeight="1">
      <c r="D89" s="117"/>
      <c r="E89" s="117"/>
      <c r="F89" s="117"/>
      <c r="G89" s="117"/>
      <c r="H89" s="112"/>
      <c r="I89" s="85"/>
      <c r="O89" s="85"/>
      <c r="P89" s="87"/>
      <c r="Q89" s="85"/>
      <c r="R89" s="87"/>
      <c r="T89" s="117"/>
      <c r="U89" s="117"/>
      <c r="V89" s="85"/>
      <c r="W89" s="87"/>
      <c r="X89" s="87"/>
      <c r="Y89" s="117"/>
      <c r="Z89" s="117"/>
      <c r="AB89" s="117"/>
      <c r="AC89" s="112"/>
      <c r="AD89" s="112"/>
      <c r="AE89" s="117"/>
      <c r="AF89" s="112"/>
      <c r="AG89" s="117"/>
      <c r="AH89" s="117"/>
    </row>
    <row r="90" spans="4:103" ht="12" customHeight="1">
      <c r="D90" s="117"/>
      <c r="E90" s="117"/>
      <c r="F90" s="117"/>
      <c r="G90" s="117"/>
      <c r="H90" s="112"/>
      <c r="I90" s="85"/>
      <c r="O90" s="85"/>
      <c r="P90" s="87"/>
      <c r="Q90" s="85"/>
      <c r="R90" s="87"/>
      <c r="T90" s="117"/>
      <c r="U90" s="117"/>
      <c r="V90" s="85"/>
      <c r="W90" s="87"/>
      <c r="X90" s="87"/>
      <c r="Y90" s="117"/>
      <c r="Z90" s="117"/>
      <c r="AB90" s="117"/>
      <c r="AC90" s="112"/>
      <c r="AD90" s="112"/>
      <c r="AE90" s="117"/>
      <c r="AF90" s="112"/>
      <c r="AG90" s="117"/>
      <c r="AH90" s="117"/>
    </row>
    <row r="91" spans="4:103" ht="12" customHeight="1">
      <c r="D91" s="117"/>
      <c r="E91" s="117"/>
      <c r="F91" s="117"/>
      <c r="G91" s="117"/>
      <c r="H91" s="112"/>
      <c r="I91" s="85"/>
      <c r="O91" s="85"/>
      <c r="P91" s="87"/>
      <c r="Q91" s="85"/>
      <c r="R91" s="87"/>
      <c r="T91" s="117"/>
      <c r="U91" s="117"/>
      <c r="V91" s="85"/>
      <c r="W91" s="87"/>
      <c r="X91" s="87"/>
      <c r="Y91" s="117"/>
      <c r="Z91" s="117"/>
      <c r="AB91" s="117"/>
      <c r="AC91" s="112"/>
      <c r="AD91" s="112"/>
      <c r="AE91" s="117"/>
      <c r="AF91" s="112"/>
      <c r="AG91" s="117"/>
      <c r="AH91" s="117"/>
    </row>
    <row r="92" spans="4:103" ht="12" customHeight="1">
      <c r="D92" s="117"/>
      <c r="E92" s="117"/>
      <c r="F92" s="117"/>
      <c r="G92" s="117"/>
      <c r="H92" s="112"/>
      <c r="I92" s="85"/>
      <c r="O92" s="85"/>
      <c r="P92" s="87"/>
      <c r="Q92" s="85"/>
      <c r="R92" s="87"/>
      <c r="T92" s="117"/>
      <c r="U92" s="117"/>
      <c r="V92" s="85"/>
      <c r="W92" s="87"/>
      <c r="X92" s="87"/>
      <c r="Y92" s="117"/>
      <c r="Z92" s="117"/>
      <c r="AB92" s="117"/>
      <c r="AC92" s="112"/>
      <c r="AD92" s="112"/>
      <c r="AE92" s="117"/>
      <c r="AF92" s="112"/>
      <c r="AG92" s="117"/>
      <c r="AH92" s="117"/>
    </row>
    <row r="93" spans="4:103" ht="12" customHeight="1">
      <c r="D93" s="117"/>
      <c r="E93" s="117"/>
      <c r="F93" s="117"/>
      <c r="G93" s="117"/>
      <c r="H93" s="112"/>
      <c r="I93" s="85"/>
      <c r="O93" s="85"/>
      <c r="P93" s="87"/>
      <c r="Q93" s="85"/>
      <c r="R93" s="87"/>
      <c r="T93" s="117"/>
      <c r="U93" s="117"/>
      <c r="V93" s="85"/>
      <c r="W93" s="87"/>
      <c r="X93" s="87"/>
      <c r="Y93" s="117"/>
      <c r="Z93" s="117"/>
      <c r="AB93" s="117"/>
      <c r="AC93" s="112"/>
      <c r="AD93" s="112"/>
      <c r="AE93" s="117"/>
      <c r="AF93" s="112"/>
      <c r="AG93" s="117"/>
      <c r="AH93" s="117"/>
    </row>
    <row r="94" spans="4:103" ht="12" customHeight="1">
      <c r="D94" s="117"/>
      <c r="E94" s="117"/>
      <c r="F94" s="117"/>
      <c r="G94" s="117"/>
      <c r="H94" s="112"/>
      <c r="I94" s="85"/>
      <c r="O94" s="85"/>
      <c r="P94" s="87"/>
      <c r="Q94" s="85"/>
      <c r="R94" s="87"/>
      <c r="T94" s="117"/>
      <c r="U94" s="117"/>
      <c r="V94" s="85"/>
      <c r="W94" s="87"/>
      <c r="X94" s="87"/>
      <c r="Y94" s="117"/>
      <c r="Z94" s="117"/>
      <c r="AB94" s="117"/>
      <c r="AC94" s="112"/>
      <c r="AD94" s="112"/>
      <c r="AE94" s="117"/>
      <c r="AF94" s="112"/>
      <c r="AG94" s="117"/>
      <c r="AH94" s="117"/>
    </row>
    <row r="95" spans="4:103" ht="12" customHeight="1">
      <c r="D95" s="117"/>
      <c r="E95" s="117"/>
      <c r="F95" s="117"/>
      <c r="G95" s="117"/>
      <c r="H95" s="112"/>
      <c r="I95" s="85"/>
      <c r="O95" s="85"/>
      <c r="P95" s="87"/>
      <c r="Q95" s="85"/>
      <c r="R95" s="87"/>
      <c r="T95" s="117"/>
      <c r="U95" s="117"/>
      <c r="V95" s="85"/>
      <c r="W95" s="87"/>
      <c r="X95" s="87"/>
      <c r="Y95" s="117"/>
      <c r="Z95" s="117"/>
      <c r="AB95" s="117"/>
      <c r="AC95" s="112"/>
      <c r="AD95" s="112"/>
      <c r="AE95" s="117"/>
      <c r="AF95" s="112"/>
      <c r="AG95" s="117"/>
      <c r="AH95" s="117"/>
    </row>
    <row r="96" spans="4:103" ht="12" customHeight="1">
      <c r="D96" s="117"/>
      <c r="E96" s="117"/>
      <c r="F96" s="117"/>
      <c r="G96" s="117"/>
      <c r="H96" s="112"/>
      <c r="I96" s="85"/>
      <c r="O96" s="85"/>
      <c r="P96" s="87"/>
      <c r="Q96" s="85"/>
      <c r="R96" s="87"/>
      <c r="T96" s="117"/>
      <c r="U96" s="117"/>
      <c r="V96" s="85"/>
      <c r="W96" s="87"/>
      <c r="X96" s="87"/>
      <c r="Y96" s="117"/>
      <c r="Z96" s="117"/>
      <c r="AB96" s="117"/>
      <c r="AC96" s="112"/>
      <c r="AD96" s="112"/>
      <c r="AE96" s="117"/>
      <c r="AF96" s="112"/>
      <c r="AG96" s="117"/>
      <c r="AH96" s="117"/>
    </row>
    <row r="97" spans="4:34" ht="12" customHeight="1">
      <c r="D97" s="117"/>
      <c r="E97" s="117"/>
      <c r="F97" s="117"/>
      <c r="G97" s="117"/>
      <c r="H97" s="112"/>
      <c r="I97" s="85"/>
      <c r="O97" s="85"/>
      <c r="P97" s="87"/>
      <c r="Q97" s="85"/>
      <c r="R97" s="87"/>
      <c r="T97" s="117"/>
      <c r="U97" s="117"/>
      <c r="V97" s="85"/>
      <c r="W97" s="87"/>
      <c r="X97" s="87"/>
      <c r="Y97" s="117"/>
      <c r="Z97" s="117"/>
      <c r="AB97" s="117"/>
      <c r="AC97" s="112"/>
      <c r="AD97" s="112"/>
      <c r="AE97" s="117"/>
      <c r="AF97" s="112"/>
      <c r="AG97" s="117"/>
      <c r="AH97" s="117"/>
    </row>
    <row r="98" spans="4:34" ht="12" customHeight="1">
      <c r="D98" s="117"/>
      <c r="E98" s="117"/>
      <c r="F98" s="117"/>
      <c r="G98" s="117"/>
      <c r="H98" s="112"/>
      <c r="I98" s="85"/>
      <c r="O98" s="85"/>
      <c r="P98" s="87"/>
      <c r="Q98" s="85"/>
      <c r="R98" s="87"/>
      <c r="T98" s="117"/>
      <c r="U98" s="117"/>
      <c r="V98" s="85"/>
      <c r="W98" s="87"/>
      <c r="X98" s="87"/>
      <c r="Y98" s="117"/>
      <c r="Z98" s="117"/>
      <c r="AB98" s="117"/>
      <c r="AC98" s="112"/>
      <c r="AD98" s="112"/>
      <c r="AE98" s="117"/>
      <c r="AF98" s="112"/>
      <c r="AG98" s="117"/>
      <c r="AH98" s="117"/>
    </row>
    <row r="99" spans="4:34" ht="12" customHeight="1">
      <c r="D99" s="117"/>
      <c r="E99" s="117"/>
      <c r="F99" s="117"/>
      <c r="G99" s="117"/>
      <c r="H99" s="112"/>
      <c r="I99" s="85"/>
      <c r="O99" s="85"/>
      <c r="P99" s="87"/>
      <c r="Q99" s="85"/>
      <c r="R99" s="87"/>
      <c r="T99" s="117"/>
      <c r="U99" s="117"/>
      <c r="V99" s="85"/>
      <c r="W99" s="87"/>
      <c r="X99" s="87"/>
      <c r="Y99" s="117"/>
      <c r="Z99" s="117"/>
      <c r="AB99" s="117"/>
      <c r="AC99" s="112"/>
      <c r="AD99" s="112"/>
      <c r="AE99" s="117"/>
      <c r="AF99" s="112"/>
      <c r="AG99" s="117"/>
      <c r="AH99" s="117"/>
    </row>
    <row r="100" spans="4:34" ht="12" customHeight="1">
      <c r="D100" s="117"/>
      <c r="E100" s="117"/>
      <c r="F100" s="117"/>
      <c r="G100" s="117"/>
      <c r="H100" s="112"/>
      <c r="I100" s="85"/>
      <c r="O100" s="85"/>
      <c r="P100" s="87"/>
      <c r="Q100" s="85"/>
      <c r="R100" s="87"/>
      <c r="T100" s="117"/>
      <c r="U100" s="117"/>
      <c r="V100" s="85"/>
      <c r="W100" s="87"/>
      <c r="X100" s="87"/>
      <c r="Y100" s="117"/>
      <c r="Z100" s="117"/>
      <c r="AB100" s="117"/>
      <c r="AC100" s="112"/>
      <c r="AD100" s="112"/>
      <c r="AE100" s="117"/>
      <c r="AF100" s="112"/>
      <c r="AG100" s="117"/>
      <c r="AH100" s="117"/>
    </row>
    <row r="101" spans="4:34" ht="12" customHeight="1">
      <c r="D101" s="117"/>
      <c r="E101" s="117"/>
      <c r="F101" s="117"/>
      <c r="G101" s="117"/>
      <c r="H101" s="112"/>
      <c r="I101" s="85"/>
      <c r="O101" s="85"/>
      <c r="P101" s="87"/>
      <c r="Q101" s="85"/>
      <c r="R101" s="87"/>
      <c r="T101" s="117"/>
      <c r="U101" s="117"/>
      <c r="V101" s="85"/>
      <c r="W101" s="87"/>
      <c r="X101" s="87"/>
      <c r="Y101" s="117"/>
      <c r="Z101" s="117"/>
      <c r="AB101" s="117"/>
      <c r="AC101" s="112"/>
      <c r="AD101" s="112"/>
      <c r="AE101" s="117"/>
      <c r="AF101" s="112"/>
      <c r="AG101" s="117"/>
      <c r="AH101" s="117"/>
    </row>
    <row r="102" spans="4:34" ht="12" customHeight="1">
      <c r="D102" s="117"/>
      <c r="E102" s="117"/>
      <c r="F102" s="117"/>
      <c r="G102" s="117"/>
      <c r="H102" s="112"/>
      <c r="I102" s="85"/>
      <c r="O102" s="85"/>
      <c r="P102" s="87"/>
      <c r="Q102" s="85"/>
      <c r="R102" s="87"/>
      <c r="T102" s="117"/>
      <c r="U102" s="117"/>
      <c r="V102" s="85"/>
      <c r="W102" s="87"/>
      <c r="X102" s="87"/>
      <c r="Y102" s="117"/>
      <c r="Z102" s="117"/>
      <c r="AB102" s="117"/>
      <c r="AC102" s="112"/>
      <c r="AD102" s="112"/>
      <c r="AE102" s="117"/>
      <c r="AF102" s="112"/>
      <c r="AG102" s="117"/>
      <c r="AH102" s="117"/>
    </row>
    <row r="103" spans="4:34" ht="12" customHeight="1">
      <c r="D103" s="117"/>
      <c r="E103" s="117"/>
      <c r="F103" s="117"/>
      <c r="G103" s="117"/>
      <c r="H103" s="112"/>
      <c r="I103" s="85"/>
      <c r="O103" s="85"/>
      <c r="P103" s="87"/>
      <c r="Q103" s="85"/>
      <c r="R103" s="87"/>
      <c r="T103" s="117"/>
      <c r="U103" s="117"/>
      <c r="V103" s="85"/>
      <c r="W103" s="87"/>
      <c r="X103" s="87"/>
      <c r="Y103" s="117"/>
      <c r="Z103" s="117"/>
      <c r="AB103" s="117"/>
      <c r="AC103" s="112"/>
      <c r="AD103" s="112"/>
      <c r="AE103" s="117"/>
      <c r="AF103" s="112"/>
      <c r="AG103" s="117"/>
      <c r="AH103" s="117"/>
    </row>
    <row r="104" spans="4:34" ht="12" customHeight="1">
      <c r="D104" s="117"/>
      <c r="E104" s="117"/>
      <c r="F104" s="117"/>
      <c r="G104" s="117"/>
      <c r="H104" s="112"/>
      <c r="I104" s="85"/>
      <c r="O104" s="85"/>
      <c r="P104" s="87"/>
      <c r="Q104" s="85"/>
      <c r="R104" s="87"/>
      <c r="T104" s="117"/>
      <c r="U104" s="117"/>
      <c r="V104" s="85"/>
      <c r="W104" s="87"/>
      <c r="X104" s="87"/>
      <c r="Y104" s="117"/>
      <c r="Z104" s="117"/>
      <c r="AB104" s="117"/>
      <c r="AC104" s="112"/>
      <c r="AD104" s="112"/>
      <c r="AE104" s="117"/>
      <c r="AF104" s="112"/>
      <c r="AG104" s="117"/>
      <c r="AH104" s="117"/>
    </row>
    <row r="105" spans="4:34" ht="15.75" customHeight="1"/>
    <row r="106" spans="4:34" ht="15.75" customHeight="1"/>
    <row r="107" spans="4:34" ht="15.75" customHeight="1"/>
    <row r="108" spans="4:34" ht="15.75" customHeight="1"/>
    <row r="109" spans="4:34" ht="15.75" customHeight="1"/>
    <row r="110" spans="4:34" ht="15.75" customHeight="1"/>
    <row r="111" spans="4:34" ht="15.75" customHeight="1"/>
    <row r="112" spans="4:34"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3.15"/>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sheetProtection formatCells="0" formatColumns="0" formatRows="0" insertColumns="0" insertRows="0" insertHyperlinks="0" deleteColumns="0" deleteRows="0" sort="0" autoFilter="0" pivotTables="0"/>
  <mergeCells count="327">
    <mergeCell ref="BG85:BK85"/>
    <mergeCell ref="BO85:BS85"/>
    <mergeCell ref="BW85:CA85"/>
    <mergeCell ref="CE85:CI85"/>
    <mergeCell ref="CM85:CQ85"/>
    <mergeCell ref="AI74:AM74"/>
    <mergeCell ref="AY73:BC73"/>
    <mergeCell ref="AY74:BC74"/>
    <mergeCell ref="BG73:BK73"/>
    <mergeCell ref="BG74:BK74"/>
    <mergeCell ref="BO73:BS73"/>
    <mergeCell ref="BO74:BS74"/>
    <mergeCell ref="BW73:CA73"/>
    <mergeCell ref="BW74:CA74"/>
    <mergeCell ref="BG83:BK83"/>
    <mergeCell ref="BO83:BS83"/>
    <mergeCell ref="BW83:CA83"/>
    <mergeCell ref="CE83:CI83"/>
    <mergeCell ref="CM83:CQ83"/>
    <mergeCell ref="BG84:BK84"/>
    <mergeCell ref="BO84:BS84"/>
    <mergeCell ref="BW84:CA84"/>
    <mergeCell ref="CE84:CI84"/>
    <mergeCell ref="CM84:CQ84"/>
    <mergeCell ref="BG81:BK81"/>
    <mergeCell ref="BO81:BS81"/>
    <mergeCell ref="BW81:CA81"/>
    <mergeCell ref="CE81:CI81"/>
    <mergeCell ref="CM81:CQ81"/>
    <mergeCell ref="BG82:BK82"/>
    <mergeCell ref="BO82:BS82"/>
    <mergeCell ref="BW82:CA82"/>
    <mergeCell ref="CE82:CI82"/>
    <mergeCell ref="CM82:CQ82"/>
    <mergeCell ref="BG79:BK79"/>
    <mergeCell ref="BO79:BS79"/>
    <mergeCell ref="BW79:CA79"/>
    <mergeCell ref="CE79:CI79"/>
    <mergeCell ref="CM79:CQ79"/>
    <mergeCell ref="BG80:BK80"/>
    <mergeCell ref="BO80:BS80"/>
    <mergeCell ref="BW80:CA80"/>
    <mergeCell ref="CE80:CI80"/>
    <mergeCell ref="CM80:CQ80"/>
    <mergeCell ref="BG77:BK77"/>
    <mergeCell ref="BO77:BS77"/>
    <mergeCell ref="BW77:CA77"/>
    <mergeCell ref="CE77:CI77"/>
    <mergeCell ref="CM77:CQ77"/>
    <mergeCell ref="BG78:BK78"/>
    <mergeCell ref="BO78:BS78"/>
    <mergeCell ref="BW78:CA78"/>
    <mergeCell ref="CE78:CI78"/>
    <mergeCell ref="CM78:CQ78"/>
    <mergeCell ref="CE71:CI71"/>
    <mergeCell ref="CM71:CQ71"/>
    <mergeCell ref="BG72:BK72"/>
    <mergeCell ref="BO72:BS72"/>
    <mergeCell ref="BW72:CA72"/>
    <mergeCell ref="CE72:CI72"/>
    <mergeCell ref="CM72:CQ72"/>
    <mergeCell ref="BW76:CA76"/>
    <mergeCell ref="CE76:CI76"/>
    <mergeCell ref="CM76:CQ76"/>
    <mergeCell ref="AQ70:AU70"/>
    <mergeCell ref="AQ72:AU72"/>
    <mergeCell ref="AQ73:AU73"/>
    <mergeCell ref="AQ74:AU74"/>
    <mergeCell ref="AQ75:AU75"/>
    <mergeCell ref="AQ76:AU76"/>
    <mergeCell ref="AQ77:AU77"/>
    <mergeCell ref="AQ78:AU78"/>
    <mergeCell ref="BV12:CB12"/>
    <mergeCell ref="BF21:BL21"/>
    <mergeCell ref="BN21:BT21"/>
    <mergeCell ref="BV21:CB21"/>
    <mergeCell ref="BF30:BL30"/>
    <mergeCell ref="BN30:BT30"/>
    <mergeCell ref="BV30:CB30"/>
    <mergeCell ref="BF41:BL41"/>
    <mergeCell ref="BN41:BT41"/>
    <mergeCell ref="BV41:CB41"/>
    <mergeCell ref="BF50:BL50"/>
    <mergeCell ref="BN50:BT50"/>
    <mergeCell ref="BV50:CB50"/>
    <mergeCell ref="BG75:BK75"/>
    <mergeCell ref="BO75:BS75"/>
    <mergeCell ref="BW75:CA75"/>
    <mergeCell ref="CU82:CY82"/>
    <mergeCell ref="CU83:CY83"/>
    <mergeCell ref="CU84:CY84"/>
    <mergeCell ref="CU85:CY85"/>
    <mergeCell ref="CT69:CY69"/>
    <mergeCell ref="CU70:CY70"/>
    <mergeCell ref="CU71:CY71"/>
    <mergeCell ref="CU75:CY75"/>
    <mergeCell ref="CU76:CY76"/>
    <mergeCell ref="CU77:CY77"/>
    <mergeCell ref="CU78:CY78"/>
    <mergeCell ref="CU72:CY72"/>
    <mergeCell ref="CU73:CY73"/>
    <mergeCell ref="CU74:CY74"/>
    <mergeCell ref="CU81:CY81"/>
    <mergeCell ref="CX52:CX57"/>
    <mergeCell ref="CU79:CY79"/>
    <mergeCell ref="CU80:CY80"/>
    <mergeCell ref="BF69:BK69"/>
    <mergeCell ref="BN69:BS69"/>
    <mergeCell ref="BV69:CA69"/>
    <mergeCell ref="CD69:CI69"/>
    <mergeCell ref="CL69:CQ69"/>
    <mergeCell ref="BG70:BK70"/>
    <mergeCell ref="BO70:BS70"/>
    <mergeCell ref="BW70:CA70"/>
    <mergeCell ref="CE70:CI70"/>
    <mergeCell ref="CM70:CQ70"/>
    <mergeCell ref="BG71:BK71"/>
    <mergeCell ref="BO71:BS71"/>
    <mergeCell ref="BW71:CA71"/>
    <mergeCell ref="CE75:CI75"/>
    <mergeCell ref="CM75:CQ75"/>
    <mergeCell ref="CE73:CI73"/>
    <mergeCell ref="CE74:CI74"/>
    <mergeCell ref="CM73:CQ73"/>
    <mergeCell ref="CM74:CQ74"/>
    <mergeCell ref="BG76:BK76"/>
    <mergeCell ref="BO76:BS76"/>
    <mergeCell ref="AQ85:AU85"/>
    <mergeCell ref="AX69:BC69"/>
    <mergeCell ref="AY70:BC70"/>
    <mergeCell ref="AY71:BC71"/>
    <mergeCell ref="AY72:BC72"/>
    <mergeCell ref="AY75:BC75"/>
    <mergeCell ref="AY76:BC76"/>
    <mergeCell ref="AY77:BC77"/>
    <mergeCell ref="AY78:BC78"/>
    <mergeCell ref="AY79:BC79"/>
    <mergeCell ref="AY80:BC80"/>
    <mergeCell ref="AY81:BC81"/>
    <mergeCell ref="AY82:BC82"/>
    <mergeCell ref="AY83:BC83"/>
    <mergeCell ref="AY84:BC84"/>
    <mergeCell ref="AY85:BC85"/>
    <mergeCell ref="AP69:AU69"/>
    <mergeCell ref="AQ71:AU71"/>
    <mergeCell ref="AQ79:AU79"/>
    <mergeCell ref="AQ80:AU80"/>
    <mergeCell ref="AQ81:AU81"/>
    <mergeCell ref="AQ82:AU82"/>
    <mergeCell ref="AQ83:AU83"/>
    <mergeCell ref="AQ84:AU84"/>
    <mergeCell ref="AA84:AE84"/>
    <mergeCell ref="AA85:AE85"/>
    <mergeCell ref="AH69:AM69"/>
    <mergeCell ref="AI70:AM70"/>
    <mergeCell ref="AI71:AM71"/>
    <mergeCell ref="AI72:AM72"/>
    <mergeCell ref="AI75:AM75"/>
    <mergeCell ref="AI76:AM76"/>
    <mergeCell ref="AI77:AM77"/>
    <mergeCell ref="AI78:AM78"/>
    <mergeCell ref="AI79:AM79"/>
    <mergeCell ref="AI80:AM80"/>
    <mergeCell ref="AI81:AM81"/>
    <mergeCell ref="AI82:AM82"/>
    <mergeCell ref="AI83:AM83"/>
    <mergeCell ref="AI84:AM84"/>
    <mergeCell ref="AI85:AM85"/>
    <mergeCell ref="Z69:AE69"/>
    <mergeCell ref="AA70:AE70"/>
    <mergeCell ref="AA71:AE71"/>
    <mergeCell ref="AA79:AE79"/>
    <mergeCell ref="AA73:AE73"/>
    <mergeCell ref="AA74:AE74"/>
    <mergeCell ref="AI73:AM73"/>
    <mergeCell ref="L83:P83"/>
    <mergeCell ref="L78:P78"/>
    <mergeCell ref="L77:P77"/>
    <mergeCell ref="L76:P76"/>
    <mergeCell ref="L75:P75"/>
    <mergeCell ref="L72:P72"/>
    <mergeCell ref="AA80:AE80"/>
    <mergeCell ref="AA81:AE81"/>
    <mergeCell ref="AA82:AE82"/>
    <mergeCell ref="AA83:AE83"/>
    <mergeCell ref="L73:P73"/>
    <mergeCell ref="L74:P74"/>
    <mergeCell ref="S73:W73"/>
    <mergeCell ref="S74:W74"/>
    <mergeCell ref="AA72:AE72"/>
    <mergeCell ref="AA75:AE75"/>
    <mergeCell ref="AA76:AE76"/>
    <mergeCell ref="AA77:AE77"/>
    <mergeCell ref="AA78:AE78"/>
    <mergeCell ref="L84:P84"/>
    <mergeCell ref="L85:P85"/>
    <mergeCell ref="R69:W69"/>
    <mergeCell ref="S70:W70"/>
    <mergeCell ref="S71:W71"/>
    <mergeCell ref="S72:W72"/>
    <mergeCell ref="S75:W75"/>
    <mergeCell ref="S76:W76"/>
    <mergeCell ref="S77:W77"/>
    <mergeCell ref="S78:W78"/>
    <mergeCell ref="S79:W79"/>
    <mergeCell ref="S80:W80"/>
    <mergeCell ref="S81:W81"/>
    <mergeCell ref="S82:W82"/>
    <mergeCell ref="S83:W83"/>
    <mergeCell ref="S84:W84"/>
    <mergeCell ref="S85:W85"/>
    <mergeCell ref="K69:P69"/>
    <mergeCell ref="L70:P70"/>
    <mergeCell ref="L80:P80"/>
    <mergeCell ref="L71:P71"/>
    <mergeCell ref="L79:P79"/>
    <mergeCell ref="L81:P81"/>
    <mergeCell ref="L82:P82"/>
    <mergeCell ref="B57:C57"/>
    <mergeCell ref="Z30:AF30"/>
    <mergeCell ref="K50:P50"/>
    <mergeCell ref="K41:P41"/>
    <mergeCell ref="R50:X50"/>
    <mergeCell ref="R41:X41"/>
    <mergeCell ref="R30:X30"/>
    <mergeCell ref="B47:C47"/>
    <mergeCell ref="B48:C48"/>
    <mergeCell ref="B52:C52"/>
    <mergeCell ref="B54:C54"/>
    <mergeCell ref="B56:C56"/>
    <mergeCell ref="B43:C43"/>
    <mergeCell ref="B44:C44"/>
    <mergeCell ref="D50:I50"/>
    <mergeCell ref="D41:I41"/>
    <mergeCell ref="B41:C42"/>
    <mergeCell ref="B50:C51"/>
    <mergeCell ref="B45:C45"/>
    <mergeCell ref="B46:C46"/>
    <mergeCell ref="B53:C53"/>
    <mergeCell ref="B33:C33"/>
    <mergeCell ref="D59:I59"/>
    <mergeCell ref="D39:I39"/>
    <mergeCell ref="CL5:CR8"/>
    <mergeCell ref="AP41:AV41"/>
    <mergeCell ref="AH41:AN41"/>
    <mergeCell ref="AH50:AN50"/>
    <mergeCell ref="AP12:AV12"/>
    <mergeCell ref="AP21:AV21"/>
    <mergeCell ref="AP30:AV30"/>
    <mergeCell ref="AP50:AV50"/>
    <mergeCell ref="AH21:AN21"/>
    <mergeCell ref="K21:P21"/>
    <mergeCell ref="K30:P30"/>
    <mergeCell ref="Z41:AF41"/>
    <mergeCell ref="Z50:AF50"/>
    <mergeCell ref="AH30:AN30"/>
    <mergeCell ref="Z12:AF12"/>
    <mergeCell ref="Z21:AF21"/>
    <mergeCell ref="R21:X21"/>
    <mergeCell ref="D21:I21"/>
    <mergeCell ref="D30:I30"/>
    <mergeCell ref="CD12:CJ12"/>
    <mergeCell ref="CL12:CR12"/>
    <mergeCell ref="CD21:CJ21"/>
    <mergeCell ref="CT5:CX8"/>
    <mergeCell ref="CX23:CX27"/>
    <mergeCell ref="AH12:AN12"/>
    <mergeCell ref="AX12:BD12"/>
    <mergeCell ref="BF12:BL12"/>
    <mergeCell ref="BN12:BT12"/>
    <mergeCell ref="CX43:CX48"/>
    <mergeCell ref="CL21:CR21"/>
    <mergeCell ref="CD30:CJ30"/>
    <mergeCell ref="CL30:CR30"/>
    <mergeCell ref="CD41:CJ41"/>
    <mergeCell ref="CL41:CR41"/>
    <mergeCell ref="CT12:CX12"/>
    <mergeCell ref="CX14:CX19"/>
    <mergeCell ref="CT21:CX21"/>
    <mergeCell ref="CT30:CX30"/>
    <mergeCell ref="CT41:CX41"/>
    <mergeCell ref="CT50:CX50"/>
    <mergeCell ref="AX21:BD21"/>
    <mergeCell ref="AX30:BD30"/>
    <mergeCell ref="AX41:BD41"/>
    <mergeCell ref="AX50:BD50"/>
    <mergeCell ref="CX32:CX37"/>
    <mergeCell ref="CD50:CJ50"/>
    <mergeCell ref="CL50:CR50"/>
    <mergeCell ref="B19:C19"/>
    <mergeCell ref="B23:C23"/>
    <mergeCell ref="B24:C24"/>
    <mergeCell ref="B21:C22"/>
    <mergeCell ref="B34:C34"/>
    <mergeCell ref="B35:C35"/>
    <mergeCell ref="B36:C36"/>
    <mergeCell ref="B37:C37"/>
    <mergeCell ref="B30:C31"/>
    <mergeCell ref="B25:C25"/>
    <mergeCell ref="B26:C26"/>
    <mergeCell ref="B27:C27"/>
    <mergeCell ref="B32:C32"/>
    <mergeCell ref="B28:C28"/>
    <mergeCell ref="AA2:AG2"/>
    <mergeCell ref="I3:I8"/>
    <mergeCell ref="AA3:AG8"/>
    <mergeCell ref="AA9:AG9"/>
    <mergeCell ref="B55:C55"/>
    <mergeCell ref="B16:C16"/>
    <mergeCell ref="B18:C18"/>
    <mergeCell ref="B17:C17"/>
    <mergeCell ref="B2:D2"/>
    <mergeCell ref="B3:D10"/>
    <mergeCell ref="R2:S8"/>
    <mergeCell ref="V2:Y6"/>
    <mergeCell ref="U2:U7"/>
    <mergeCell ref="B12:C13"/>
    <mergeCell ref="B14:C14"/>
    <mergeCell ref="T3:T5"/>
    <mergeCell ref="G3:G8"/>
    <mergeCell ref="D12:I12"/>
    <mergeCell ref="K12:P12"/>
    <mergeCell ref="O2:O7"/>
    <mergeCell ref="P2:P7"/>
    <mergeCell ref="R12:X12"/>
    <mergeCell ref="B15:C15"/>
    <mergeCell ref="M2:N8"/>
  </mergeCells>
  <phoneticPr fontId="35" type="noConversion"/>
  <conditionalFormatting sqref="A14:A19 D14:D19 A23:A27 D23:D27 A52:A57 D52:D58 D38">
    <cfRule type="containsText" dxfId="60" priority="33" operator="containsText" text="Super Set">
      <formula>NOT(ISERROR(SEARCH(("Super Set"),(A14))))</formula>
    </cfRule>
  </conditionalFormatting>
  <conditionalFormatting sqref="A32:A37">
    <cfRule type="containsText" dxfId="59" priority="17" operator="containsText" text="Super Set">
      <formula>NOT(ISERROR(SEARCH(("Super Set"),(A32))))</formula>
    </cfRule>
  </conditionalFormatting>
  <conditionalFormatting sqref="A43:A48">
    <cfRule type="containsText" dxfId="58" priority="5" operator="containsText" text="Super Set">
      <formula>NOT(ISERROR(SEARCH(("Super Set"),(A43))))</formula>
    </cfRule>
  </conditionalFormatting>
  <conditionalFormatting sqref="D43:D48">
    <cfRule type="containsText" dxfId="57" priority="4" operator="containsText" text="Super Set">
      <formula>NOT(ISERROR(SEARCH(("Super Set"),(D43))))</formula>
    </cfRule>
  </conditionalFormatting>
  <conditionalFormatting sqref="A28">
    <cfRule type="containsText" dxfId="56" priority="2" operator="containsText" text="Super Set">
      <formula>NOT(ISERROR(SEARCH(("Super Set"),(A28))))</formula>
    </cfRule>
  </conditionalFormatting>
  <conditionalFormatting sqref="D28">
    <cfRule type="containsText" dxfId="55" priority="3" operator="containsText" text="Super Set">
      <formula>NOT(ISERROR(SEARCH(("Super Set"),(D28))))</formula>
    </cfRule>
  </conditionalFormatting>
  <conditionalFormatting sqref="D32:D37">
    <cfRule type="containsText" dxfId="0" priority="1" operator="containsText" text="Super Set">
      <formula>NOT(ISERROR(SEARCH(("Super Set"),(D32))))</formula>
    </cfRule>
  </conditionalFormatting>
  <dataValidations count="4">
    <dataValidation type="list" allowBlank="1" showDropDown="1" sqref="A14:A19 D43:D48 D14:D19 A43:A48 D52:D58 A52:A57 D23:D29 A23:A29 A32:A37 D32:D38" xr:uid="{7C29496F-2F4A-4E09-B50F-9E225364CBC1}">
      <formula1>Number</formula1>
    </dataValidation>
    <dataValidation type="list" allowBlank="1" showErrorMessage="1" sqref="G58" xr:uid="{F05609D9-72C2-4138-80F7-A8DEA08A18D9}">
      <formula1>Triceps</formula1>
    </dataValidation>
    <dataValidation type="list" allowBlank="1" showErrorMessage="1" sqref="G14:G19 G52:G57 G43:G48 G23:G29 G32:G38" xr:uid="{563DEF7C-E05F-45B0-91F5-BF18E03E3C95}">
      <formula1>INDIRECT(F14)</formula1>
    </dataValidation>
    <dataValidation type="list" allowBlank="1" showInputMessage="1" showErrorMessage="1" sqref="BD43:BD48 X23:X28 AV43:AV48 AV23:AV28 X43:X48 AN23:AN28 AF23:AF28 AN43:AN48 BT43:BT48 CR23:CR28 CR43:CR48 BL23:BL28 CJ43:CJ48 CJ23:CJ28 BL43:BL48 CB23:CB28 BT23:BT28 CB43:CB48 X14:X19 BL52:BL57 BD23:BD28 AF43:AF48 BT14:BT19 CB14:CB19 CJ14:CJ19 CR14:CR19 BL14:BL19 AF14:AF19 AN14:AN19 AV14:AV19 BD14:BD19 AN52:AN57 AV52:AV57 BD52:BD57 X52:X57 AF52:AF57 BT52:BT57 CB52:CB57 CJ52:CJ57 CR52:CR57 CJ32:CJ37 CR32:CR37 BL32:BL37 BT32:BT37 CB32:CB37 AV32:AV37 BD32:BD37 X32:X37 AF32:AF37 AN32:AN37" xr:uid="{F69AEF7A-5AA0-4742-A3EF-CCEE2CC14284}">
      <formula1>$B$66:$B$67</formula1>
    </dataValidation>
  </dataValidations>
  <printOptions horizontalCentered="1"/>
  <pageMargins left="0.25" right="0.25" top="0.75" bottom="0.75" header="0" footer="0"/>
  <pageSetup scale="2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B4E3-2A88-4B73-A254-5A3D43CA17D0}">
  <dimension ref="A67:G1058"/>
  <sheetViews>
    <sheetView topLeftCell="A608" zoomScale="77" zoomScaleNormal="115" workbookViewId="0">
      <selection activeCell="B651" sqref="B651"/>
    </sheetView>
  </sheetViews>
  <sheetFormatPr defaultColWidth="9.1328125" defaultRowHeight="12.75"/>
  <cols>
    <col min="1" max="1" width="13.86328125" style="1" customWidth="1"/>
    <col min="2" max="2" width="31.86328125" style="1" customWidth="1"/>
    <col min="3" max="3" width="37.3984375" style="1" customWidth="1"/>
    <col min="4" max="4" width="21.3984375" style="1" customWidth="1"/>
    <col min="5" max="6" width="9.1328125" style="1"/>
    <col min="7" max="7" width="22.73046875" style="1" customWidth="1"/>
    <col min="8" max="16384" width="9.1328125" style="1"/>
  </cols>
  <sheetData>
    <row r="67" spans="1:4">
      <c r="A67" s="1" t="s">
        <v>63</v>
      </c>
      <c r="B67" s="1" t="s">
        <v>64</v>
      </c>
      <c r="C67" s="1" t="s">
        <v>65</v>
      </c>
      <c r="D67" s="1" t="s">
        <v>31</v>
      </c>
    </row>
    <row r="68" spans="1:4" ht="16.5">
      <c r="B68" s="2" t="s">
        <v>37</v>
      </c>
      <c r="C68" s="7" t="s">
        <v>66</v>
      </c>
      <c r="D68" s="1" t="s">
        <v>31</v>
      </c>
    </row>
    <row r="69" spans="1:4" ht="16.5">
      <c r="B69" s="2" t="s">
        <v>19</v>
      </c>
      <c r="C69" s="17" t="s">
        <v>67</v>
      </c>
    </row>
    <row r="70" spans="1:4" ht="16.5">
      <c r="B70" s="2"/>
      <c r="C70" s="17"/>
    </row>
    <row r="71" spans="1:4" ht="13.15">
      <c r="A71" s="59" t="s">
        <v>68</v>
      </c>
      <c r="B71" s="58" t="s">
        <v>64</v>
      </c>
      <c r="C71" s="58" t="s">
        <v>65</v>
      </c>
    </row>
    <row r="72" spans="1:4" ht="16.5">
      <c r="B72" s="15" t="s">
        <v>383</v>
      </c>
      <c r="C72" s="32" t="s">
        <v>70</v>
      </c>
    </row>
    <row r="73" spans="1:4" ht="16.5">
      <c r="B73" s="13" t="s">
        <v>384</v>
      </c>
      <c r="C73" s="33" t="s">
        <v>72</v>
      </c>
    </row>
    <row r="74" spans="1:4" ht="16.5">
      <c r="B74" s="15" t="s">
        <v>385</v>
      </c>
      <c r="C74" s="34" t="s">
        <v>74</v>
      </c>
    </row>
    <row r="75" spans="1:4" ht="16.5">
      <c r="B75" s="13" t="s">
        <v>75</v>
      </c>
      <c r="C75" s="33" t="s">
        <v>76</v>
      </c>
    </row>
    <row r="76" spans="1:4" ht="16.5">
      <c r="B76" s="13" t="s">
        <v>386</v>
      </c>
      <c r="C76" s="33" t="s">
        <v>78</v>
      </c>
    </row>
    <row r="77" spans="1:4" ht="16.5">
      <c r="B77" s="15" t="s">
        <v>79</v>
      </c>
      <c r="C77" s="32" t="s">
        <v>80</v>
      </c>
    </row>
    <row r="78" spans="1:4" ht="16.5">
      <c r="B78" s="22" t="s">
        <v>81</v>
      </c>
      <c r="C78" s="31" t="s">
        <v>82</v>
      </c>
    </row>
    <row r="79" spans="1:4" ht="16.5">
      <c r="B79" s="15" t="s">
        <v>409</v>
      </c>
      <c r="C79" s="30" t="s">
        <v>410</v>
      </c>
    </row>
    <row r="80" spans="1:4" ht="16.5">
      <c r="B80" s="15" t="s">
        <v>411</v>
      </c>
      <c r="C80" s="30" t="s">
        <v>412</v>
      </c>
    </row>
    <row r="81" spans="1:4" ht="16.5">
      <c r="B81" s="15" t="s">
        <v>413</v>
      </c>
      <c r="C81" s="30" t="s">
        <v>414</v>
      </c>
    </row>
    <row r="82" spans="1:4" ht="16.5">
      <c r="B82" s="15" t="s">
        <v>415</v>
      </c>
      <c r="C82" s="14" t="s">
        <v>416</v>
      </c>
    </row>
    <row r="83" spans="1:4" ht="16.5">
      <c r="B83" s="13" t="s">
        <v>417</v>
      </c>
      <c r="C83" s="12" t="s">
        <v>418</v>
      </c>
    </row>
    <row r="84" spans="1:4" ht="16.5">
      <c r="B84" s="22" t="s">
        <v>419</v>
      </c>
      <c r="C84" s="21" t="s">
        <v>420</v>
      </c>
    </row>
    <row r="85" spans="1:4">
      <c r="D85" s="1" t="s">
        <v>31</v>
      </c>
    </row>
    <row r="86" spans="1:4">
      <c r="B86" s="1" t="s">
        <v>64</v>
      </c>
      <c r="C86" s="1" t="s">
        <v>65</v>
      </c>
      <c r="D86" s="1" t="s">
        <v>31</v>
      </c>
    </row>
    <row r="87" spans="1:4" ht="16.5">
      <c r="A87" s="1" t="s">
        <v>83</v>
      </c>
      <c r="B87" s="2" t="s">
        <v>38</v>
      </c>
      <c r="C87" s="17" t="s">
        <v>84</v>
      </c>
      <c r="D87" s="1" t="s">
        <v>31</v>
      </c>
    </row>
    <row r="88" spans="1:4" ht="16.5">
      <c r="B88" s="2" t="s">
        <v>20</v>
      </c>
      <c r="C88" s="17" t="s">
        <v>85</v>
      </c>
      <c r="D88" s="1" t="s">
        <v>31</v>
      </c>
    </row>
    <row r="89" spans="1:4" ht="16.5">
      <c r="B89" s="27" t="s">
        <v>407</v>
      </c>
      <c r="C89" s="57" t="s">
        <v>408</v>
      </c>
    </row>
    <row r="90" spans="1:4">
      <c r="D90" s="1" t="s">
        <v>31</v>
      </c>
    </row>
    <row r="91" spans="1:4">
      <c r="B91" s="1" t="s">
        <v>64</v>
      </c>
      <c r="C91" s="1" t="s">
        <v>65</v>
      </c>
      <c r="D91" s="1" t="s">
        <v>31</v>
      </c>
    </row>
    <row r="92" spans="1:4" ht="16.5">
      <c r="A92" s="2" t="s">
        <v>86</v>
      </c>
      <c r="B92" s="2" t="s">
        <v>87</v>
      </c>
      <c r="C92" s="17" t="s">
        <v>88</v>
      </c>
      <c r="D92" s="1" t="s">
        <v>31</v>
      </c>
    </row>
    <row r="93" spans="1:4" ht="16.5">
      <c r="A93" s="2"/>
      <c r="B93" s="2" t="s">
        <v>89</v>
      </c>
      <c r="C93" s="17" t="s">
        <v>90</v>
      </c>
      <c r="D93" s="1" t="s">
        <v>31</v>
      </c>
    </row>
    <row r="94" spans="1:4" ht="16.5">
      <c r="A94" s="2"/>
      <c r="B94" s="2" t="s">
        <v>91</v>
      </c>
      <c r="C94" s="17" t="s">
        <v>92</v>
      </c>
      <c r="D94" s="1" t="s">
        <v>31</v>
      </c>
    </row>
    <row r="95" spans="1:4" ht="16.5">
      <c r="A95" s="2"/>
      <c r="B95" s="2" t="s">
        <v>93</v>
      </c>
      <c r="C95" s="17" t="s">
        <v>94</v>
      </c>
      <c r="D95" s="1" t="s">
        <v>31</v>
      </c>
    </row>
    <row r="96" spans="1:4" ht="16.5">
      <c r="A96" s="2"/>
      <c r="B96" s="2" t="s">
        <v>95</v>
      </c>
      <c r="C96" s="17" t="s">
        <v>96</v>
      </c>
      <c r="D96" s="1" t="s">
        <v>31</v>
      </c>
    </row>
    <row r="97" spans="1:7">
      <c r="D97" s="1" t="s">
        <v>31</v>
      </c>
    </row>
    <row r="98" spans="1:7">
      <c r="B98" s="1" t="s">
        <v>64</v>
      </c>
      <c r="C98" s="1" t="s">
        <v>65</v>
      </c>
      <c r="D98" s="1" t="s">
        <v>31</v>
      </c>
    </row>
    <row r="99" spans="1:7" ht="16.5">
      <c r="A99" s="2" t="s">
        <v>756</v>
      </c>
      <c r="B99" s="2" t="s">
        <v>97</v>
      </c>
      <c r="C99" s="17" t="s">
        <v>98</v>
      </c>
      <c r="D99" s="1" t="s">
        <v>31</v>
      </c>
    </row>
    <row r="100" spans="1:7" ht="16.5">
      <c r="A100" s="2"/>
      <c r="B100" s="2" t="s">
        <v>99</v>
      </c>
      <c r="C100" s="17" t="s">
        <v>100</v>
      </c>
      <c r="D100" s="1" t="s">
        <v>31</v>
      </c>
    </row>
    <row r="101" spans="1:7" ht="16.5">
      <c r="A101" s="2"/>
      <c r="B101" s="2" t="s">
        <v>755</v>
      </c>
      <c r="C101" s="17" t="s">
        <v>102</v>
      </c>
      <c r="D101" s="1" t="s">
        <v>31</v>
      </c>
    </row>
    <row r="102" spans="1:7" ht="16.5">
      <c r="B102" s="2" t="s">
        <v>103</v>
      </c>
      <c r="C102" s="17" t="s">
        <v>104</v>
      </c>
      <c r="D102" s="1" t="s">
        <v>31</v>
      </c>
    </row>
    <row r="103" spans="1:7" ht="16.5">
      <c r="B103" s="2" t="s">
        <v>105</v>
      </c>
      <c r="C103" s="3" t="s">
        <v>106</v>
      </c>
      <c r="D103" s="1" t="s">
        <v>31</v>
      </c>
      <c r="G103" s="12"/>
    </row>
    <row r="104" spans="1:7" ht="16.5">
      <c r="B104" s="2" t="s">
        <v>107</v>
      </c>
      <c r="C104" s="3" t="s">
        <v>108</v>
      </c>
      <c r="D104" s="1" t="s">
        <v>31</v>
      </c>
    </row>
    <row r="105" spans="1:7" ht="16.5">
      <c r="B105" s="2" t="s">
        <v>109</v>
      </c>
      <c r="C105" s="3" t="s">
        <v>110</v>
      </c>
      <c r="D105" s="1" t="s">
        <v>31</v>
      </c>
    </row>
    <row r="106" spans="1:7" ht="16.5">
      <c r="B106" s="2" t="s">
        <v>111</v>
      </c>
      <c r="C106" s="17" t="s">
        <v>112</v>
      </c>
      <c r="D106" s="1" t="s">
        <v>31</v>
      </c>
    </row>
    <row r="107" spans="1:7" ht="16.5">
      <c r="B107" s="2" t="s">
        <v>113</v>
      </c>
      <c r="C107" s="3" t="s">
        <v>114</v>
      </c>
      <c r="D107" s="1" t="s">
        <v>31</v>
      </c>
    </row>
    <row r="108" spans="1:7" ht="16.5">
      <c r="B108" s="2" t="s">
        <v>115</v>
      </c>
      <c r="C108" s="3" t="s">
        <v>116</v>
      </c>
      <c r="D108" s="1" t="s">
        <v>31</v>
      </c>
    </row>
    <row r="109" spans="1:7" ht="16.5">
      <c r="B109" s="2" t="s">
        <v>117</v>
      </c>
      <c r="C109" s="3" t="s">
        <v>118</v>
      </c>
    </row>
    <row r="110" spans="1:7" ht="16.5">
      <c r="B110" s="27" t="s">
        <v>427</v>
      </c>
      <c r="C110" s="55" t="s">
        <v>428</v>
      </c>
    </row>
    <row r="111" spans="1:7" ht="16.5">
      <c r="B111" s="44" t="s">
        <v>429</v>
      </c>
      <c r="C111" s="56" t="s">
        <v>430</v>
      </c>
    </row>
    <row r="112" spans="1:7" ht="16.5">
      <c r="B112" s="44" t="s">
        <v>431</v>
      </c>
      <c r="C112" s="7" t="s">
        <v>432</v>
      </c>
    </row>
    <row r="113" spans="1:7" ht="16.5">
      <c r="B113" s="27" t="s">
        <v>433</v>
      </c>
      <c r="C113" s="55" t="s">
        <v>434</v>
      </c>
      <c r="D113" s="1" t="s">
        <v>31</v>
      </c>
    </row>
    <row r="114" spans="1:7">
      <c r="B114" s="54"/>
      <c r="C114" s="54"/>
    </row>
    <row r="115" spans="1:7">
      <c r="B115" s="1" t="s">
        <v>64</v>
      </c>
      <c r="C115" s="1" t="s">
        <v>65</v>
      </c>
      <c r="D115" s="1" t="s">
        <v>31</v>
      </c>
    </row>
    <row r="116" spans="1:7" ht="16.5">
      <c r="A116" s="2" t="s">
        <v>15</v>
      </c>
      <c r="B116" s="2" t="s">
        <v>119</v>
      </c>
      <c r="C116" s="17" t="s">
        <v>120</v>
      </c>
      <c r="D116" s="1" t="s">
        <v>31</v>
      </c>
    </row>
    <row r="117" spans="1:7" ht="16.5">
      <c r="A117" s="2"/>
      <c r="B117" s="2" t="s">
        <v>121</v>
      </c>
      <c r="C117" s="17" t="s">
        <v>122</v>
      </c>
      <c r="D117" s="1" t="s">
        <v>31</v>
      </c>
      <c r="G117" s="18"/>
    </row>
    <row r="118" spans="1:7" ht="16.5">
      <c r="A118" s="2"/>
      <c r="B118" s="2" t="s">
        <v>123</v>
      </c>
      <c r="C118" s="17" t="s">
        <v>124</v>
      </c>
      <c r="D118" s="1" t="s">
        <v>31</v>
      </c>
      <c r="G118" s="18"/>
    </row>
    <row r="119" spans="1:7" ht="16.5">
      <c r="B119" s="2" t="s">
        <v>125</v>
      </c>
      <c r="C119" s="17" t="s">
        <v>126</v>
      </c>
      <c r="D119" s="1" t="s">
        <v>31</v>
      </c>
    </row>
    <row r="120" spans="1:7" ht="16.5">
      <c r="B120" s="2" t="s">
        <v>127</v>
      </c>
      <c r="C120" s="37" t="s">
        <v>128</v>
      </c>
      <c r="D120" s="1" t="s">
        <v>31</v>
      </c>
    </row>
    <row r="121" spans="1:7" ht="16.5">
      <c r="B121" s="2" t="s">
        <v>403</v>
      </c>
      <c r="C121" s="37" t="s">
        <v>402</v>
      </c>
    </row>
    <row r="122" spans="1:7" ht="16.5">
      <c r="B122" s="2" t="s">
        <v>437</v>
      </c>
      <c r="C122" s="37" t="s">
        <v>404</v>
      </c>
    </row>
    <row r="123" spans="1:7" ht="16.5">
      <c r="B123" s="2" t="s">
        <v>435</v>
      </c>
      <c r="C123" s="3" t="s">
        <v>436</v>
      </c>
    </row>
    <row r="124" spans="1:7">
      <c r="D124" s="1" t="s">
        <v>31</v>
      </c>
    </row>
    <row r="125" spans="1:7" ht="16.5">
      <c r="A125" s="2"/>
      <c r="B125" s="1" t="s">
        <v>64</v>
      </c>
      <c r="C125" s="1" t="s">
        <v>65</v>
      </c>
      <c r="D125" s="1" t="s">
        <v>31</v>
      </c>
    </row>
    <row r="126" spans="1:7" ht="16.5">
      <c r="A126" s="2" t="s">
        <v>129</v>
      </c>
      <c r="B126" s="2" t="s">
        <v>135</v>
      </c>
      <c r="C126" s="3" t="s">
        <v>136</v>
      </c>
      <c r="D126" s="1" t="s">
        <v>31</v>
      </c>
    </row>
    <row r="127" spans="1:7" ht="16.5">
      <c r="B127" s="2" t="s">
        <v>137</v>
      </c>
      <c r="C127" s="17" t="s">
        <v>138</v>
      </c>
      <c r="D127" s="1" t="s">
        <v>31</v>
      </c>
    </row>
    <row r="128" spans="1:7" ht="16.5">
      <c r="B128" s="2" t="s">
        <v>139</v>
      </c>
      <c r="C128" s="17" t="s">
        <v>140</v>
      </c>
      <c r="D128" s="1" t="s">
        <v>31</v>
      </c>
    </row>
    <row r="129" spans="1:4">
      <c r="D129" s="1" t="s">
        <v>31</v>
      </c>
    </row>
    <row r="130" spans="1:4">
      <c r="B130" s="1" t="s">
        <v>64</v>
      </c>
      <c r="C130" s="1" t="s">
        <v>65</v>
      </c>
      <c r="D130" s="1" t="s">
        <v>31</v>
      </c>
    </row>
    <row r="131" spans="1:4" ht="16.5">
      <c r="A131" s="2" t="s">
        <v>149</v>
      </c>
      <c r="B131" s="2" t="s">
        <v>56</v>
      </c>
      <c r="C131" s="17" t="s">
        <v>150</v>
      </c>
      <c r="D131" s="1" t="s">
        <v>31</v>
      </c>
    </row>
    <row r="132" spans="1:4" ht="16.5">
      <c r="B132" s="2" t="s">
        <v>151</v>
      </c>
      <c r="C132" s="17" t="s">
        <v>152</v>
      </c>
      <c r="D132" s="1" t="s">
        <v>31</v>
      </c>
    </row>
    <row r="133" spans="1:4" ht="16.5">
      <c r="B133" s="2" t="s">
        <v>153</v>
      </c>
      <c r="C133" s="3" t="s">
        <v>154</v>
      </c>
      <c r="D133" s="1" t="s">
        <v>31</v>
      </c>
    </row>
    <row r="134" spans="1:4" ht="16.5">
      <c r="B134" s="2" t="s">
        <v>155</v>
      </c>
      <c r="C134" s="17" t="s">
        <v>156</v>
      </c>
      <c r="D134" s="1" t="s">
        <v>31</v>
      </c>
    </row>
    <row r="135" spans="1:4" ht="16.5">
      <c r="B135" s="2" t="s">
        <v>157</v>
      </c>
      <c r="C135" s="17" t="s">
        <v>158</v>
      </c>
      <c r="D135" s="1" t="s">
        <v>31</v>
      </c>
    </row>
    <row r="136" spans="1:4" ht="16.5">
      <c r="B136" s="2" t="s">
        <v>159</v>
      </c>
      <c r="C136" s="17" t="s">
        <v>160</v>
      </c>
      <c r="D136" s="1" t="s">
        <v>31</v>
      </c>
    </row>
    <row r="137" spans="1:4" ht="16.5">
      <c r="B137" s="2" t="s">
        <v>161</v>
      </c>
      <c r="C137" s="17" t="s">
        <v>162</v>
      </c>
      <c r="D137" s="1" t="s">
        <v>31</v>
      </c>
    </row>
    <row r="138" spans="1:4" ht="16.5">
      <c r="B138" s="2" t="s">
        <v>163</v>
      </c>
      <c r="C138" s="17" t="s">
        <v>164</v>
      </c>
      <c r="D138" s="1" t="s">
        <v>31</v>
      </c>
    </row>
    <row r="139" spans="1:4" ht="16.5">
      <c r="B139" s="2" t="s">
        <v>165</v>
      </c>
      <c r="C139" s="17" t="s">
        <v>166</v>
      </c>
      <c r="D139" s="1" t="s">
        <v>31</v>
      </c>
    </row>
    <row r="140" spans="1:4" ht="16.5">
      <c r="B140" s="25" t="s">
        <v>421</v>
      </c>
      <c r="C140" s="21" t="s">
        <v>422</v>
      </c>
    </row>
    <row r="141" spans="1:4">
      <c r="D141" s="1" t="s">
        <v>31</v>
      </c>
    </row>
    <row r="142" spans="1:4">
      <c r="B142" s="1" t="s">
        <v>64</v>
      </c>
      <c r="C142" s="1" t="s">
        <v>65</v>
      </c>
      <c r="D142" s="1" t="s">
        <v>31</v>
      </c>
    </row>
    <row r="143" spans="1:4" ht="16.5">
      <c r="A143" s="2" t="s">
        <v>167</v>
      </c>
      <c r="B143" s="2" t="s">
        <v>168</v>
      </c>
      <c r="C143" s="17" t="s">
        <v>169</v>
      </c>
      <c r="D143" s="1" t="s">
        <v>31</v>
      </c>
    </row>
    <row r="144" spans="1:4" ht="16.5">
      <c r="B144" s="2" t="s">
        <v>170</v>
      </c>
      <c r="C144" s="17" t="s">
        <v>171</v>
      </c>
      <c r="D144" s="1" t="s">
        <v>31</v>
      </c>
    </row>
    <row r="145" spans="1:4" ht="16.5">
      <c r="B145" s="2" t="s">
        <v>44</v>
      </c>
      <c r="C145" s="17" t="s">
        <v>172</v>
      </c>
      <c r="D145" s="1" t="s">
        <v>31</v>
      </c>
    </row>
    <row r="146" spans="1:4" ht="16.5">
      <c r="B146" s="2" t="s">
        <v>173</v>
      </c>
      <c r="C146" s="17" t="s">
        <v>174</v>
      </c>
      <c r="D146" s="1" t="s">
        <v>31</v>
      </c>
    </row>
    <row r="147" spans="1:4" ht="16.5">
      <c r="B147" s="2" t="s">
        <v>175</v>
      </c>
      <c r="C147" s="17" t="s">
        <v>176</v>
      </c>
      <c r="D147" s="1" t="s">
        <v>31</v>
      </c>
    </row>
    <row r="148" spans="1:4" ht="16.5">
      <c r="B148" s="2" t="s">
        <v>177</v>
      </c>
      <c r="C148" s="17" t="s">
        <v>178</v>
      </c>
      <c r="D148" s="1" t="s">
        <v>31</v>
      </c>
    </row>
    <row r="149" spans="1:4" ht="16.5">
      <c r="B149" s="2" t="s">
        <v>179</v>
      </c>
      <c r="C149" s="17" t="s">
        <v>180</v>
      </c>
      <c r="D149" s="1" t="s">
        <v>31</v>
      </c>
    </row>
    <row r="150" spans="1:4" ht="16.5">
      <c r="B150" s="2" t="s">
        <v>181</v>
      </c>
      <c r="C150" s="17" t="s">
        <v>182</v>
      </c>
      <c r="D150" s="1" t="s">
        <v>31</v>
      </c>
    </row>
    <row r="151" spans="1:4" ht="16.5">
      <c r="B151" s="2" t="s">
        <v>26</v>
      </c>
      <c r="C151" s="17" t="s">
        <v>183</v>
      </c>
      <c r="D151" s="1" t="s">
        <v>31</v>
      </c>
    </row>
    <row r="152" spans="1:4">
      <c r="D152" s="1" t="s">
        <v>31</v>
      </c>
    </row>
    <row r="153" spans="1:4">
      <c r="B153" s="1" t="s">
        <v>64</v>
      </c>
      <c r="C153" s="1" t="s">
        <v>65</v>
      </c>
      <c r="D153" s="1" t="s">
        <v>31</v>
      </c>
    </row>
    <row r="154" spans="1:4" ht="16.5">
      <c r="A154" s="2" t="s">
        <v>184</v>
      </c>
      <c r="B154" s="2" t="s">
        <v>54</v>
      </c>
      <c r="C154" s="17" t="s">
        <v>185</v>
      </c>
      <c r="D154" s="1" t="s">
        <v>31</v>
      </c>
    </row>
    <row r="155" spans="1:4" ht="16.5">
      <c r="A155" s="2"/>
      <c r="B155" s="2" t="s">
        <v>186</v>
      </c>
      <c r="C155" s="17" t="s">
        <v>187</v>
      </c>
      <c r="D155" s="1" t="s">
        <v>31</v>
      </c>
    </row>
    <row r="156" spans="1:4" ht="16.5">
      <c r="B156" s="2" t="s">
        <v>188</v>
      </c>
      <c r="C156" s="17" t="s">
        <v>189</v>
      </c>
      <c r="D156" s="1" t="s">
        <v>31</v>
      </c>
    </row>
    <row r="157" spans="1:4" ht="16.5">
      <c r="B157" s="2" t="s">
        <v>190</v>
      </c>
      <c r="C157" s="17" t="s">
        <v>191</v>
      </c>
      <c r="D157" s="1" t="s">
        <v>31</v>
      </c>
    </row>
    <row r="158" spans="1:4" ht="16.5">
      <c r="A158" s="2"/>
      <c r="B158" s="2" t="s">
        <v>192</v>
      </c>
      <c r="C158" s="17" t="s">
        <v>193</v>
      </c>
      <c r="D158" s="1" t="s">
        <v>31</v>
      </c>
    </row>
    <row r="159" spans="1:4" ht="16.5">
      <c r="A159" s="2"/>
      <c r="B159" s="2" t="s">
        <v>423</v>
      </c>
      <c r="C159" s="3" t="s">
        <v>424</v>
      </c>
    </row>
    <row r="160" spans="1:4">
      <c r="D160" s="1" t="s">
        <v>31</v>
      </c>
    </row>
    <row r="161" spans="1:4">
      <c r="B161" s="1" t="s">
        <v>64</v>
      </c>
      <c r="C161" s="1" t="s">
        <v>65</v>
      </c>
      <c r="D161" s="1" t="s">
        <v>31</v>
      </c>
    </row>
    <row r="162" spans="1:4" ht="16.5">
      <c r="A162" s="2" t="s">
        <v>194</v>
      </c>
      <c r="B162" s="2" t="s">
        <v>195</v>
      </c>
      <c r="C162" s="17" t="s">
        <v>196</v>
      </c>
      <c r="D162" s="1" t="s">
        <v>31</v>
      </c>
    </row>
    <row r="163" spans="1:4" ht="16.5">
      <c r="B163" s="2" t="s">
        <v>197</v>
      </c>
      <c r="C163" s="17" t="s">
        <v>198</v>
      </c>
      <c r="D163" s="1" t="s">
        <v>31</v>
      </c>
    </row>
    <row r="164" spans="1:4" ht="16.5">
      <c r="B164" s="2" t="s">
        <v>199</v>
      </c>
      <c r="C164" s="17" t="s">
        <v>200</v>
      </c>
      <c r="D164" s="1" t="s">
        <v>31</v>
      </c>
    </row>
    <row r="165" spans="1:4" ht="16.5">
      <c r="A165" s="2"/>
      <c r="B165" s="2" t="s">
        <v>57</v>
      </c>
      <c r="C165" s="17" t="s">
        <v>201</v>
      </c>
      <c r="D165" s="1" t="s">
        <v>31</v>
      </c>
    </row>
    <row r="166" spans="1:4" ht="16.5">
      <c r="B166" s="2" t="s">
        <v>202</v>
      </c>
      <c r="C166" s="3" t="s">
        <v>203</v>
      </c>
      <c r="D166" s="1" t="s">
        <v>31</v>
      </c>
    </row>
    <row r="167" spans="1:4" ht="16.5">
      <c r="B167" s="2" t="s">
        <v>204</v>
      </c>
      <c r="C167" s="3" t="s">
        <v>205</v>
      </c>
      <c r="D167" s="1" t="s">
        <v>31</v>
      </c>
    </row>
    <row r="168" spans="1:4" ht="16.5">
      <c r="B168" s="2" t="s">
        <v>206</v>
      </c>
      <c r="C168" s="17" t="s">
        <v>207</v>
      </c>
      <c r="D168" s="1" t="s">
        <v>31</v>
      </c>
    </row>
    <row r="169" spans="1:4" ht="16.5">
      <c r="B169" s="2" t="s">
        <v>425</v>
      </c>
      <c r="C169" s="7" t="s">
        <v>426</v>
      </c>
    </row>
    <row r="170" spans="1:4" ht="16.5">
      <c r="B170" s="2"/>
      <c r="C170" s="17"/>
    </row>
    <row r="171" spans="1:4">
      <c r="D171" s="1" t="s">
        <v>31</v>
      </c>
    </row>
    <row r="172" spans="1:4">
      <c r="B172" s="1" t="s">
        <v>64</v>
      </c>
      <c r="C172" s="1" t="s">
        <v>65</v>
      </c>
      <c r="D172" s="1" t="s">
        <v>31</v>
      </c>
    </row>
    <row r="173" spans="1:4" ht="16.5">
      <c r="A173" s="2" t="s">
        <v>208</v>
      </c>
      <c r="B173" s="2" t="s">
        <v>209</v>
      </c>
      <c r="C173" s="17" t="s">
        <v>210</v>
      </c>
      <c r="D173" s="1" t="s">
        <v>31</v>
      </c>
    </row>
    <row r="174" spans="1:4" ht="16.5">
      <c r="B174" s="2" t="s">
        <v>211</v>
      </c>
      <c r="C174" s="3" t="s">
        <v>212</v>
      </c>
      <c r="D174" s="1" t="s">
        <v>31</v>
      </c>
    </row>
    <row r="175" spans="1:4" ht="16.5">
      <c r="A175" s="2"/>
      <c r="B175" s="2" t="s">
        <v>39</v>
      </c>
      <c r="C175" s="17" t="s">
        <v>213</v>
      </c>
      <c r="D175" s="1" t="s">
        <v>31</v>
      </c>
    </row>
    <row r="176" spans="1:4" ht="16.5">
      <c r="B176" s="2" t="s">
        <v>214</v>
      </c>
      <c r="C176" s="17" t="s">
        <v>215</v>
      </c>
      <c r="D176" s="1" t="s">
        <v>31</v>
      </c>
    </row>
    <row r="177" spans="1:4" ht="16.5">
      <c r="B177" s="2" t="s">
        <v>50</v>
      </c>
      <c r="C177" s="3" t="s">
        <v>216</v>
      </c>
      <c r="D177" s="1" t="s">
        <v>31</v>
      </c>
    </row>
    <row r="178" spans="1:4" ht="16.5">
      <c r="B178" s="2" t="s">
        <v>18</v>
      </c>
      <c r="C178" s="3" t="s">
        <v>217</v>
      </c>
      <c r="D178" s="1" t="s">
        <v>31</v>
      </c>
    </row>
    <row r="179" spans="1:4" ht="16.5">
      <c r="B179" s="2" t="s">
        <v>218</v>
      </c>
      <c r="C179" s="3" t="s">
        <v>219</v>
      </c>
      <c r="D179" s="1" t="s">
        <v>31</v>
      </c>
    </row>
    <row r="180" spans="1:4" ht="16.5">
      <c r="B180" s="2" t="s">
        <v>220</v>
      </c>
      <c r="C180" s="3" t="s">
        <v>221</v>
      </c>
      <c r="D180" s="1" t="s">
        <v>31</v>
      </c>
    </row>
    <row r="181" spans="1:4">
      <c r="D181" s="1" t="s">
        <v>31</v>
      </c>
    </row>
    <row r="182" spans="1:4">
      <c r="B182" s="1" t="s">
        <v>64</v>
      </c>
      <c r="C182" s="1" t="s">
        <v>65</v>
      </c>
      <c r="D182" s="1" t="s">
        <v>31</v>
      </c>
    </row>
    <row r="183" spans="1:4" ht="16.5">
      <c r="A183" s="1" t="s">
        <v>382</v>
      </c>
      <c r="B183" s="2" t="s">
        <v>222</v>
      </c>
      <c r="C183" s="17" t="s">
        <v>223</v>
      </c>
      <c r="D183" s="1" t="s">
        <v>31</v>
      </c>
    </row>
    <row r="184" spans="1:4" ht="16.5">
      <c r="A184" s="2"/>
      <c r="B184" s="2" t="s">
        <v>224</v>
      </c>
      <c r="C184" s="17" t="s">
        <v>225</v>
      </c>
      <c r="D184" s="1" t="s">
        <v>31</v>
      </c>
    </row>
    <row r="185" spans="1:4" ht="16.5">
      <c r="B185" s="2" t="s">
        <v>226</v>
      </c>
      <c r="C185" s="17" t="s">
        <v>227</v>
      </c>
      <c r="D185" s="1" t="s">
        <v>31</v>
      </c>
    </row>
    <row r="186" spans="1:4" ht="16.5">
      <c r="B186" s="2" t="s">
        <v>228</v>
      </c>
      <c r="C186" s="17" t="s">
        <v>229</v>
      </c>
      <c r="D186" s="1" t="s">
        <v>31</v>
      </c>
    </row>
    <row r="187" spans="1:4" ht="16.5">
      <c r="B187" s="2" t="s">
        <v>230</v>
      </c>
      <c r="C187" s="37" t="s">
        <v>231</v>
      </c>
      <c r="D187" s="1" t="s">
        <v>31</v>
      </c>
    </row>
    <row r="188" spans="1:4" ht="16.5">
      <c r="B188" s="2" t="s">
        <v>232</v>
      </c>
      <c r="C188" s="37" t="s">
        <v>233</v>
      </c>
      <c r="D188" s="1" t="s">
        <v>31</v>
      </c>
    </row>
    <row r="189" spans="1:4" ht="16.5">
      <c r="B189" s="2" t="s">
        <v>42</v>
      </c>
      <c r="C189" s="3" t="s">
        <v>234</v>
      </c>
      <c r="D189" s="1" t="s">
        <v>31</v>
      </c>
    </row>
    <row r="190" spans="1:4" ht="16.5">
      <c r="B190" s="2" t="s">
        <v>25</v>
      </c>
      <c r="C190" s="3" t="s">
        <v>235</v>
      </c>
      <c r="D190" s="1" t="s">
        <v>31</v>
      </c>
    </row>
    <row r="191" spans="1:4" ht="16.5">
      <c r="B191" s="2" t="s">
        <v>236</v>
      </c>
      <c r="C191" s="17" t="s">
        <v>237</v>
      </c>
      <c r="D191" s="1" t="s">
        <v>31</v>
      </c>
    </row>
    <row r="192" spans="1:4" ht="16.5">
      <c r="B192" s="2" t="s">
        <v>238</v>
      </c>
      <c r="C192" s="3" t="s">
        <v>239</v>
      </c>
      <c r="D192" s="1" t="s">
        <v>31</v>
      </c>
    </row>
    <row r="193" spans="1:4" ht="16.5">
      <c r="B193" s="2" t="s">
        <v>240</v>
      </c>
      <c r="C193" s="3" t="s">
        <v>241</v>
      </c>
      <c r="D193" s="1" t="s">
        <v>31</v>
      </c>
    </row>
    <row r="194" spans="1:4" ht="16.5">
      <c r="B194" s="2" t="s">
        <v>242</v>
      </c>
      <c r="C194" s="3" t="s">
        <v>243</v>
      </c>
      <c r="D194" s="1" t="s">
        <v>31</v>
      </c>
    </row>
    <row r="195" spans="1:4" ht="16.5">
      <c r="B195" s="2" t="s">
        <v>59</v>
      </c>
      <c r="C195" s="3" t="s">
        <v>244</v>
      </c>
      <c r="D195" s="1" t="s">
        <v>31</v>
      </c>
    </row>
    <row r="196" spans="1:4" ht="16.5">
      <c r="B196" s="2" t="s">
        <v>245</v>
      </c>
      <c r="C196" s="17" t="s">
        <v>246</v>
      </c>
      <c r="D196" s="1" t="s">
        <v>31</v>
      </c>
    </row>
    <row r="197" spans="1:4">
      <c r="D197" s="1" t="s">
        <v>31</v>
      </c>
    </row>
    <row r="198" spans="1:4">
      <c r="B198" s="1" t="s">
        <v>64</v>
      </c>
      <c r="C198" s="1" t="s">
        <v>65</v>
      </c>
      <c r="D198" s="1" t="s">
        <v>31</v>
      </c>
    </row>
    <row r="199" spans="1:4" ht="16.5">
      <c r="A199" s="1" t="s">
        <v>757</v>
      </c>
      <c r="B199" s="2" t="s">
        <v>46</v>
      </c>
      <c r="C199" s="39" t="s">
        <v>248</v>
      </c>
      <c r="D199" s="1" t="s">
        <v>31</v>
      </c>
    </row>
    <row r="200" spans="1:4" ht="16.5">
      <c r="B200" s="2" t="s">
        <v>249</v>
      </c>
      <c r="C200" s="3" t="s">
        <v>250</v>
      </c>
      <c r="D200" s="1" t="s">
        <v>31</v>
      </c>
    </row>
    <row r="201" spans="1:4" ht="16.5">
      <c r="B201" s="2" t="s">
        <v>43</v>
      </c>
      <c r="C201" s="17" t="s">
        <v>251</v>
      </c>
      <c r="D201" s="1" t="s">
        <v>31</v>
      </c>
    </row>
    <row r="202" spans="1:4" ht="16.5">
      <c r="B202" s="2" t="s">
        <v>252</v>
      </c>
      <c r="C202" s="3" t="s">
        <v>253</v>
      </c>
      <c r="D202" s="1" t="s">
        <v>31</v>
      </c>
    </row>
    <row r="203" spans="1:4" ht="16.5">
      <c r="B203" s="2" t="s">
        <v>35</v>
      </c>
      <c r="C203" s="3" t="s">
        <v>254</v>
      </c>
      <c r="D203" s="1" t="s">
        <v>31</v>
      </c>
    </row>
    <row r="204" spans="1:4" ht="16.5">
      <c r="B204" s="2" t="s">
        <v>255</v>
      </c>
      <c r="C204" s="3" t="s">
        <v>256</v>
      </c>
      <c r="D204" s="1" t="s">
        <v>31</v>
      </c>
    </row>
    <row r="205" spans="1:4" ht="16.5">
      <c r="B205" s="2" t="s">
        <v>257</v>
      </c>
      <c r="C205" s="3" t="s">
        <v>258</v>
      </c>
      <c r="D205" s="1" t="s">
        <v>31</v>
      </c>
    </row>
    <row r="206" spans="1:4" ht="16.5">
      <c r="B206" s="2" t="s">
        <v>259</v>
      </c>
      <c r="C206" s="3" t="s">
        <v>260</v>
      </c>
      <c r="D206" s="1" t="s">
        <v>31</v>
      </c>
    </row>
    <row r="207" spans="1:4" ht="16.5">
      <c r="B207" s="2" t="s">
        <v>52</v>
      </c>
      <c r="C207" s="16" t="s">
        <v>261</v>
      </c>
      <c r="D207" s="1" t="s">
        <v>31</v>
      </c>
    </row>
    <row r="208" spans="1:4" ht="16.5">
      <c r="B208" s="2" t="s">
        <v>60</v>
      </c>
      <c r="C208" s="16" t="s">
        <v>262</v>
      </c>
      <c r="D208" s="1" t="s">
        <v>31</v>
      </c>
    </row>
    <row r="209" spans="1:4" ht="16.5">
      <c r="B209" s="2" t="s">
        <v>263</v>
      </c>
      <c r="C209" s="3" t="s">
        <v>264</v>
      </c>
      <c r="D209" s="1" t="s">
        <v>31</v>
      </c>
    </row>
    <row r="210" spans="1:4" ht="16.5">
      <c r="B210" s="2" t="s">
        <v>265</v>
      </c>
      <c r="C210" s="3" t="s">
        <v>266</v>
      </c>
      <c r="D210" s="1" t="s">
        <v>31</v>
      </c>
    </row>
    <row r="211" spans="1:4" ht="16.5">
      <c r="B211" s="2" t="s">
        <v>267</v>
      </c>
      <c r="C211" s="16" t="s">
        <v>268</v>
      </c>
      <c r="D211" s="1" t="s">
        <v>31</v>
      </c>
    </row>
    <row r="212" spans="1:4" ht="16.5">
      <c r="B212" s="2" t="s">
        <v>269</v>
      </c>
      <c r="C212" s="16" t="s">
        <v>270</v>
      </c>
      <c r="D212" s="1" t="s">
        <v>31</v>
      </c>
    </row>
    <row r="213" spans="1:4">
      <c r="D213" s="1" t="s">
        <v>31</v>
      </c>
    </row>
    <row r="214" spans="1:4" ht="16.5">
      <c r="A214" s="2" t="s">
        <v>11</v>
      </c>
      <c r="B214" s="1" t="s">
        <v>64</v>
      </c>
      <c r="C214" s="1" t="s">
        <v>65</v>
      </c>
      <c r="D214" s="1" t="s">
        <v>31</v>
      </c>
    </row>
    <row r="215" spans="1:4" ht="16.5">
      <c r="A215" s="2"/>
      <c r="B215" s="2" t="s">
        <v>271</v>
      </c>
      <c r="C215" s="17" t="s">
        <v>272</v>
      </c>
      <c r="D215" s="1" t="s">
        <v>31</v>
      </c>
    </row>
    <row r="216" spans="1:4" ht="16.5">
      <c r="B216" s="2" t="s">
        <v>273</v>
      </c>
      <c r="C216" s="3" t="s">
        <v>274</v>
      </c>
      <c r="D216" s="1" t="s">
        <v>31</v>
      </c>
    </row>
    <row r="217" spans="1:4" ht="16.5">
      <c r="B217" s="2" t="s">
        <v>275</v>
      </c>
      <c r="C217" s="3" t="s">
        <v>276</v>
      </c>
      <c r="D217" s="1" t="s">
        <v>31</v>
      </c>
    </row>
    <row r="218" spans="1:4" ht="16.5">
      <c r="B218" s="2" t="s">
        <v>277</v>
      </c>
      <c r="C218" s="37" t="s">
        <v>278</v>
      </c>
      <c r="D218" s="1" t="s">
        <v>31</v>
      </c>
    </row>
    <row r="219" spans="1:4" ht="16.5">
      <c r="B219" s="2" t="s">
        <v>279</v>
      </c>
      <c r="C219" s="3" t="s">
        <v>280</v>
      </c>
      <c r="D219" s="1" t="s">
        <v>31</v>
      </c>
    </row>
    <row r="220" spans="1:4" ht="16.5">
      <c r="B220" s="2" t="s">
        <v>281</v>
      </c>
      <c r="C220" s="3" t="s">
        <v>282</v>
      </c>
      <c r="D220" s="1" t="s">
        <v>31</v>
      </c>
    </row>
    <row r="221" spans="1:4" ht="16.5">
      <c r="B221" s="2" t="s">
        <v>53</v>
      </c>
      <c r="C221" s="3" t="s">
        <v>283</v>
      </c>
      <c r="D221" s="1" t="s">
        <v>31</v>
      </c>
    </row>
    <row r="222" spans="1:4" ht="16.5">
      <c r="B222" s="2" t="s">
        <v>284</v>
      </c>
      <c r="C222" s="3" t="s">
        <v>285</v>
      </c>
      <c r="D222" s="1" t="s">
        <v>31</v>
      </c>
    </row>
    <row r="223" spans="1:4" ht="16.5">
      <c r="B223" s="2" t="s">
        <v>55</v>
      </c>
      <c r="C223" s="3" t="s">
        <v>286</v>
      </c>
      <c r="D223" s="1" t="s">
        <v>31</v>
      </c>
    </row>
    <row r="224" spans="1:4" ht="16.5">
      <c r="B224" s="2" t="s">
        <v>27</v>
      </c>
      <c r="C224" s="3" t="s">
        <v>287</v>
      </c>
      <c r="D224" s="1" t="s">
        <v>31</v>
      </c>
    </row>
    <row r="225" spans="1:4" ht="16.5">
      <c r="B225" s="2" t="s">
        <v>288</v>
      </c>
      <c r="C225" s="17" t="s">
        <v>289</v>
      </c>
      <c r="D225" s="1" t="s">
        <v>31</v>
      </c>
    </row>
    <row r="226" spans="1:4" ht="16.5">
      <c r="B226" s="2" t="s">
        <v>290</v>
      </c>
      <c r="C226" s="3" t="s">
        <v>291</v>
      </c>
      <c r="D226" s="1" t="s">
        <v>31</v>
      </c>
    </row>
    <row r="227" spans="1:4" ht="16.5">
      <c r="B227" s="2" t="s">
        <v>292</v>
      </c>
      <c r="C227" s="3" t="s">
        <v>293</v>
      </c>
      <c r="D227" s="1" t="s">
        <v>31</v>
      </c>
    </row>
    <row r="228" spans="1:4" ht="16.5">
      <c r="B228" s="2" t="s">
        <v>294</v>
      </c>
      <c r="C228" s="3" t="s">
        <v>295</v>
      </c>
      <c r="D228" s="1" t="s">
        <v>31</v>
      </c>
    </row>
    <row r="229" spans="1:4" ht="16.5">
      <c r="B229" s="2" t="s">
        <v>296</v>
      </c>
      <c r="C229" s="3" t="s">
        <v>297</v>
      </c>
      <c r="D229" s="1" t="s">
        <v>31</v>
      </c>
    </row>
    <row r="230" spans="1:4" ht="16.5">
      <c r="B230" s="2" t="s">
        <v>298</v>
      </c>
      <c r="C230" s="3" t="s">
        <v>299</v>
      </c>
      <c r="D230" s="1" t="s">
        <v>31</v>
      </c>
    </row>
    <row r="231" spans="1:4" ht="16.5">
      <c r="B231" s="2" t="s">
        <v>300</v>
      </c>
      <c r="C231" s="3" t="s">
        <v>301</v>
      </c>
      <c r="D231" s="1" t="s">
        <v>31</v>
      </c>
    </row>
    <row r="232" spans="1:4" ht="16.5">
      <c r="B232" s="2" t="s">
        <v>405</v>
      </c>
      <c r="C232" s="3" t="s">
        <v>406</v>
      </c>
    </row>
    <row r="233" spans="1:4">
      <c r="D233" s="1" t="s">
        <v>31</v>
      </c>
    </row>
    <row r="234" spans="1:4">
      <c r="B234" s="1" t="s">
        <v>64</v>
      </c>
      <c r="C234" s="1" t="s">
        <v>65</v>
      </c>
      <c r="D234" s="1" t="s">
        <v>31</v>
      </c>
    </row>
    <row r="235" spans="1:4" ht="16.5">
      <c r="A235" s="2" t="s">
        <v>12</v>
      </c>
      <c r="B235" s="2" t="s">
        <v>302</v>
      </c>
      <c r="C235" s="3" t="s">
        <v>303</v>
      </c>
      <c r="D235" s="1" t="s">
        <v>31</v>
      </c>
    </row>
    <row r="236" spans="1:4" ht="16.5">
      <c r="B236" s="2" t="s">
        <v>304</v>
      </c>
      <c r="C236" s="3" t="s">
        <v>305</v>
      </c>
      <c r="D236" s="1" t="s">
        <v>31</v>
      </c>
    </row>
    <row r="237" spans="1:4" ht="16.5">
      <c r="B237" s="2" t="s">
        <v>306</v>
      </c>
      <c r="C237" s="3" t="s">
        <v>307</v>
      </c>
      <c r="D237" s="1" t="s">
        <v>31</v>
      </c>
    </row>
    <row r="238" spans="1:4" ht="16.5">
      <c r="B238" s="2" t="s">
        <v>308</v>
      </c>
      <c r="C238" s="3" t="s">
        <v>309</v>
      </c>
      <c r="D238" s="1" t="s">
        <v>31</v>
      </c>
    </row>
    <row r="239" spans="1:4" ht="16.5">
      <c r="B239" s="2" t="s">
        <v>1</v>
      </c>
      <c r="C239" s="3" t="s">
        <v>310</v>
      </c>
      <c r="D239" s="1" t="s">
        <v>31</v>
      </c>
    </row>
    <row r="240" spans="1:4" ht="16.5">
      <c r="B240" s="2" t="s">
        <v>311</v>
      </c>
      <c r="C240" s="3" t="s">
        <v>312</v>
      </c>
      <c r="D240" s="1" t="s">
        <v>31</v>
      </c>
    </row>
    <row r="241" spans="2:4" ht="16.5">
      <c r="B241" s="2" t="s">
        <v>48</v>
      </c>
      <c r="C241" s="3" t="s">
        <v>313</v>
      </c>
      <c r="D241" s="1" t="s">
        <v>31</v>
      </c>
    </row>
    <row r="242" spans="2:4" ht="16.5">
      <c r="B242" s="2" t="s">
        <v>36</v>
      </c>
      <c r="C242" s="3" t="s">
        <v>314</v>
      </c>
      <c r="D242" s="1" t="s">
        <v>31</v>
      </c>
    </row>
    <row r="243" spans="2:4" ht="16.5">
      <c r="B243" s="2" t="s">
        <v>51</v>
      </c>
      <c r="C243" s="3" t="s">
        <v>315</v>
      </c>
      <c r="D243" s="1" t="s">
        <v>31</v>
      </c>
    </row>
    <row r="244" spans="2:4" ht="16.5">
      <c r="B244" s="2" t="s">
        <v>316</v>
      </c>
      <c r="C244" s="3" t="s">
        <v>317</v>
      </c>
      <c r="D244" s="1" t="s">
        <v>31</v>
      </c>
    </row>
    <row r="245" spans="2:4" ht="16.5">
      <c r="B245" s="2" t="s">
        <v>318</v>
      </c>
      <c r="C245" s="3" t="s">
        <v>319</v>
      </c>
      <c r="D245" s="1" t="s">
        <v>31</v>
      </c>
    </row>
    <row r="246" spans="2:4" ht="16.5">
      <c r="B246" s="2" t="s">
        <v>320</v>
      </c>
      <c r="C246" s="3" t="s">
        <v>321</v>
      </c>
      <c r="D246" s="1" t="s">
        <v>31</v>
      </c>
    </row>
    <row r="247" spans="2:4" ht="16.5">
      <c r="B247" s="2" t="s">
        <v>322</v>
      </c>
      <c r="C247" s="3" t="s">
        <v>323</v>
      </c>
      <c r="D247" s="1" t="s">
        <v>31</v>
      </c>
    </row>
    <row r="248" spans="2:4" ht="16.5">
      <c r="B248" s="2" t="s">
        <v>40</v>
      </c>
      <c r="C248" s="37" t="s">
        <v>324</v>
      </c>
      <c r="D248" s="1" t="s">
        <v>31</v>
      </c>
    </row>
    <row r="249" spans="2:4" ht="16.5">
      <c r="B249" s="2" t="s">
        <v>58</v>
      </c>
      <c r="C249" s="16" t="s">
        <v>325</v>
      </c>
      <c r="D249" s="1" t="s">
        <v>31</v>
      </c>
    </row>
    <row r="250" spans="2:4" ht="16.5">
      <c r="B250" s="2" t="s">
        <v>326</v>
      </c>
      <c r="C250" s="3" t="s">
        <v>327</v>
      </c>
      <c r="D250" s="1" t="s">
        <v>31</v>
      </c>
    </row>
    <row r="251" spans="2:4" ht="16.5">
      <c r="B251" s="2" t="s">
        <v>328</v>
      </c>
      <c r="C251" s="16" t="s">
        <v>329</v>
      </c>
      <c r="D251" s="1" t="s">
        <v>31</v>
      </c>
    </row>
    <row r="252" spans="2:4" ht="16.5">
      <c r="B252" s="2" t="s">
        <v>400</v>
      </c>
      <c r="C252" s="9" t="s">
        <v>401</v>
      </c>
      <c r="D252" s="1" t="s">
        <v>31</v>
      </c>
    </row>
    <row r="253" spans="2:4" ht="16.5">
      <c r="B253" s="18" t="s">
        <v>438</v>
      </c>
      <c r="C253" s="36" t="s">
        <v>439</v>
      </c>
    </row>
    <row r="254" spans="2:4" ht="16.5">
      <c r="B254" s="11" t="s">
        <v>440</v>
      </c>
      <c r="C254" s="35" t="s">
        <v>441</v>
      </c>
    </row>
    <row r="255" spans="2:4" ht="16.5">
      <c r="B255" s="2"/>
      <c r="C255" s="9"/>
    </row>
    <row r="256" spans="2:4">
      <c r="B256" s="1" t="s">
        <v>64</v>
      </c>
      <c r="C256" s="1" t="s">
        <v>65</v>
      </c>
      <c r="D256" s="1" t="s">
        <v>31</v>
      </c>
    </row>
    <row r="257" spans="1:4" ht="16.5">
      <c r="A257" s="2" t="s">
        <v>24</v>
      </c>
      <c r="B257" s="2" t="s">
        <v>330</v>
      </c>
      <c r="C257" s="3" t="s">
        <v>331</v>
      </c>
      <c r="D257" s="1" t="s">
        <v>31</v>
      </c>
    </row>
    <row r="258" spans="1:4" ht="16.5">
      <c r="B258" s="2" t="s">
        <v>332</v>
      </c>
      <c r="C258" s="3" t="s">
        <v>333</v>
      </c>
      <c r="D258" s="1" t="s">
        <v>31</v>
      </c>
    </row>
    <row r="259" spans="1:4" ht="16.5">
      <c r="B259" s="2" t="s">
        <v>334</v>
      </c>
      <c r="C259" s="3" t="s">
        <v>335</v>
      </c>
      <c r="D259" s="1" t="s">
        <v>31</v>
      </c>
    </row>
    <row r="260" spans="1:4" ht="16.5">
      <c r="B260" s="2" t="s">
        <v>336</v>
      </c>
      <c r="C260" s="3" t="s">
        <v>337</v>
      </c>
      <c r="D260" s="1" t="s">
        <v>31</v>
      </c>
    </row>
    <row r="261" spans="1:4" ht="16.5">
      <c r="B261" s="2" t="s">
        <v>338</v>
      </c>
      <c r="C261" s="3" t="s">
        <v>339</v>
      </c>
      <c r="D261" s="1" t="s">
        <v>31</v>
      </c>
    </row>
    <row r="262" spans="1:4" ht="16.5">
      <c r="B262" s="2" t="s">
        <v>340</v>
      </c>
      <c r="C262" s="3" t="s">
        <v>341</v>
      </c>
      <c r="D262" s="1" t="s">
        <v>31</v>
      </c>
    </row>
    <row r="263" spans="1:4" ht="16.5">
      <c r="B263" s="2" t="s">
        <v>342</v>
      </c>
      <c r="C263" s="3" t="s">
        <v>337</v>
      </c>
      <c r="D263" s="1" t="s">
        <v>31</v>
      </c>
    </row>
    <row r="264" spans="1:4" ht="16.5">
      <c r="B264" s="2" t="s">
        <v>338</v>
      </c>
      <c r="C264" s="9" t="s">
        <v>339</v>
      </c>
      <c r="D264" s="1" t="s">
        <v>31</v>
      </c>
    </row>
    <row r="265" spans="1:4" ht="16.5">
      <c r="B265" s="2" t="s">
        <v>343</v>
      </c>
      <c r="C265" s="9" t="s">
        <v>344</v>
      </c>
      <c r="D265" s="1" t="s">
        <v>31</v>
      </c>
    </row>
    <row r="266" spans="1:4" ht="16.5">
      <c r="B266" s="2" t="s">
        <v>345</v>
      </c>
      <c r="C266" s="9" t="s">
        <v>346</v>
      </c>
      <c r="D266" s="1" t="s">
        <v>31</v>
      </c>
    </row>
    <row r="267" spans="1:4" ht="16.5">
      <c r="B267" s="2" t="s">
        <v>347</v>
      </c>
      <c r="C267" s="9" t="s">
        <v>348</v>
      </c>
      <c r="D267" s="1" t="s">
        <v>31</v>
      </c>
    </row>
    <row r="268" spans="1:4" ht="16.5">
      <c r="B268" s="2" t="s">
        <v>349</v>
      </c>
      <c r="C268" s="9" t="s">
        <v>350</v>
      </c>
      <c r="D268" s="1" t="s">
        <v>31</v>
      </c>
    </row>
    <row r="269" spans="1:4">
      <c r="D269" s="1" t="s">
        <v>31</v>
      </c>
    </row>
    <row r="270" spans="1:4">
      <c r="B270" s="1" t="s">
        <v>64</v>
      </c>
      <c r="C270" s="1" t="s">
        <v>65</v>
      </c>
      <c r="D270" s="1" t="s">
        <v>31</v>
      </c>
    </row>
    <row r="271" spans="1:4" ht="16.5">
      <c r="A271" s="45" t="s">
        <v>13</v>
      </c>
      <c r="B271" s="2" t="s">
        <v>351</v>
      </c>
      <c r="C271" s="3" t="s">
        <v>352</v>
      </c>
      <c r="D271" s="1" t="s">
        <v>31</v>
      </c>
    </row>
    <row r="272" spans="1:4" ht="16.5">
      <c r="B272" s="2" t="s">
        <v>353</v>
      </c>
      <c r="C272" s="9" t="s">
        <v>354</v>
      </c>
      <c r="D272" s="1" t="s">
        <v>31</v>
      </c>
    </row>
    <row r="273" spans="2:4" ht="16.5">
      <c r="B273" s="2" t="s">
        <v>800</v>
      </c>
      <c r="C273" s="3" t="s">
        <v>355</v>
      </c>
      <c r="D273" s="1" t="s">
        <v>31</v>
      </c>
    </row>
    <row r="274" spans="2:4" ht="16.5">
      <c r="B274" s="2" t="s">
        <v>356</v>
      </c>
      <c r="C274" s="3" t="s">
        <v>357</v>
      </c>
      <c r="D274" s="1" t="s">
        <v>31</v>
      </c>
    </row>
    <row r="275" spans="2:4" ht="16.5">
      <c r="B275" s="2" t="s">
        <v>801</v>
      </c>
      <c r="C275" s="35" t="s">
        <v>802</v>
      </c>
    </row>
    <row r="276" spans="2:4" ht="16.5">
      <c r="B276" s="2" t="s">
        <v>49</v>
      </c>
      <c r="C276" s="3" t="s">
        <v>358</v>
      </c>
      <c r="D276" s="1" t="s">
        <v>31</v>
      </c>
    </row>
    <row r="277" spans="2:4" ht="16.5">
      <c r="B277" s="2" t="s">
        <v>41</v>
      </c>
      <c r="C277" s="9" t="s">
        <v>359</v>
      </c>
      <c r="D277" s="1" t="s">
        <v>31</v>
      </c>
    </row>
    <row r="278" spans="2:4" ht="16.5">
      <c r="B278" s="2" t="s">
        <v>360</v>
      </c>
      <c r="C278" s="3" t="s">
        <v>361</v>
      </c>
      <c r="D278" s="1" t="s">
        <v>31</v>
      </c>
    </row>
    <row r="279" spans="2:4" ht="16.5">
      <c r="B279" s="2" t="s">
        <v>362</v>
      </c>
      <c r="C279" s="3" t="s">
        <v>363</v>
      </c>
      <c r="D279" s="1" t="s">
        <v>31</v>
      </c>
    </row>
    <row r="280" spans="2:4" ht="15">
      <c r="B280" s="5" t="s">
        <v>388</v>
      </c>
      <c r="C280" s="3" t="s">
        <v>387</v>
      </c>
    </row>
    <row r="281" spans="2:4" ht="15">
      <c r="B281" s="4" t="s">
        <v>390</v>
      </c>
      <c r="C281" s="3" t="s">
        <v>389</v>
      </c>
    </row>
    <row r="282" spans="2:4" ht="15">
      <c r="B282" s="5" t="s">
        <v>392</v>
      </c>
      <c r="C282" s="3" t="s">
        <v>391</v>
      </c>
    </row>
    <row r="283" spans="2:4" ht="15">
      <c r="B283" s="5" t="s">
        <v>393</v>
      </c>
      <c r="C283" s="3" t="s">
        <v>389</v>
      </c>
    </row>
    <row r="284" spans="2:4" ht="15">
      <c r="B284" s="4" t="s">
        <v>395</v>
      </c>
      <c r="C284" s="3" t="s">
        <v>394</v>
      </c>
    </row>
    <row r="285" spans="2:4" ht="15">
      <c r="B285" s="5" t="s">
        <v>396</v>
      </c>
      <c r="C285" s="3" t="s">
        <v>397</v>
      </c>
    </row>
    <row r="286" spans="2:4" ht="15">
      <c r="B286" s="5" t="s">
        <v>399</v>
      </c>
      <c r="C286" s="3" t="s">
        <v>398</v>
      </c>
    </row>
    <row r="287" spans="2:4">
      <c r="D287" s="1" t="s">
        <v>31</v>
      </c>
    </row>
    <row r="288" spans="2:4">
      <c r="B288" s="1" t="s">
        <v>64</v>
      </c>
      <c r="C288" s="1" t="s">
        <v>65</v>
      </c>
      <c r="D288" s="1" t="s">
        <v>31</v>
      </c>
    </row>
    <row r="289" spans="1:4" ht="16.5">
      <c r="A289" s="2" t="s">
        <v>17</v>
      </c>
      <c r="B289" s="2" t="s">
        <v>61</v>
      </c>
      <c r="C289" s="3" t="s">
        <v>364</v>
      </c>
      <c r="D289" s="1" t="s">
        <v>31</v>
      </c>
    </row>
    <row r="290" spans="1:4" ht="16.5">
      <c r="B290" s="2" t="s">
        <v>365</v>
      </c>
      <c r="C290" s="3" t="s">
        <v>366</v>
      </c>
      <c r="D290" s="1" t="s">
        <v>31</v>
      </c>
    </row>
    <row r="291" spans="1:4" ht="16.5">
      <c r="B291" s="2" t="s">
        <v>62</v>
      </c>
      <c r="C291" s="3" t="s">
        <v>367</v>
      </c>
      <c r="D291" s="1" t="s">
        <v>31</v>
      </c>
    </row>
    <row r="292" spans="1:4" ht="16.5">
      <c r="B292" s="2" t="s">
        <v>45</v>
      </c>
      <c r="C292" s="3" t="s">
        <v>368</v>
      </c>
      <c r="D292" s="1" t="s">
        <v>31</v>
      </c>
    </row>
    <row r="293" spans="1:4" ht="16.5">
      <c r="B293" s="2" t="s">
        <v>369</v>
      </c>
      <c r="C293" s="3" t="s">
        <v>370</v>
      </c>
      <c r="D293" s="1" t="s">
        <v>31</v>
      </c>
    </row>
    <row r="294" spans="1:4" ht="16.5">
      <c r="B294" s="2"/>
      <c r="C294" s="3"/>
    </row>
    <row r="295" spans="1:4" ht="16.5">
      <c r="B295" s="2"/>
      <c r="C295" s="3"/>
      <c r="D295" s="38"/>
    </row>
    <row r="296" spans="1:4" ht="16.5">
      <c r="B296" s="2"/>
      <c r="C296" s="3"/>
    </row>
    <row r="297" spans="1:4">
      <c r="B297" s="1" t="s">
        <v>64</v>
      </c>
      <c r="C297" s="1" t="s">
        <v>65</v>
      </c>
    </row>
    <row r="298" spans="1:4" ht="16.5">
      <c r="A298" s="2" t="s">
        <v>743</v>
      </c>
      <c r="B298" s="2" t="s">
        <v>340</v>
      </c>
      <c r="C298" s="3" t="s">
        <v>341</v>
      </c>
    </row>
    <row r="299" spans="1:4" ht="16.5">
      <c r="B299" s="2" t="s">
        <v>342</v>
      </c>
      <c r="C299" s="3" t="s">
        <v>337</v>
      </c>
    </row>
    <row r="300" spans="1:4" ht="16.5">
      <c r="B300" s="2" t="s">
        <v>334</v>
      </c>
      <c r="C300" s="3" t="s">
        <v>335</v>
      </c>
    </row>
    <row r="301" spans="1:4" ht="16.5">
      <c r="B301" s="2" t="s">
        <v>336</v>
      </c>
      <c r="C301" s="3" t="s">
        <v>337</v>
      </c>
    </row>
    <row r="302" spans="1:4" ht="16.5">
      <c r="B302" s="2"/>
      <c r="C302" s="3"/>
    </row>
    <row r="303" spans="1:4" ht="13.15">
      <c r="B303" s="58" t="s">
        <v>64</v>
      </c>
      <c r="C303" s="63" t="s">
        <v>65</v>
      </c>
    </row>
    <row r="304" spans="1:4" ht="15">
      <c r="A304" s="1" t="s">
        <v>737</v>
      </c>
      <c r="B304" s="60" t="s">
        <v>742</v>
      </c>
      <c r="C304" s="50" t="s">
        <v>436</v>
      </c>
    </row>
    <row r="305" spans="1:3" ht="15">
      <c r="B305" s="61" t="s">
        <v>682</v>
      </c>
      <c r="C305" s="49" t="s">
        <v>681</v>
      </c>
    </row>
    <row r="306" spans="1:3" ht="15">
      <c r="B306" s="62" t="s">
        <v>680</v>
      </c>
      <c r="C306" s="34" t="s">
        <v>679</v>
      </c>
    </row>
    <row r="307" spans="1:3" ht="16.5">
      <c r="B307" s="13" t="s">
        <v>741</v>
      </c>
      <c r="C307" s="12" t="s">
        <v>740</v>
      </c>
    </row>
    <row r="308" spans="1:3" ht="16.5">
      <c r="B308" s="22" t="s">
        <v>739</v>
      </c>
      <c r="C308" s="21" t="s">
        <v>738</v>
      </c>
    </row>
    <row r="309" spans="1:3" ht="16.5">
      <c r="B309" s="2"/>
      <c r="C309" s="3"/>
    </row>
    <row r="310" spans="1:3" ht="13.15">
      <c r="B310" s="58" t="s">
        <v>64</v>
      </c>
      <c r="C310" s="63" t="s">
        <v>65</v>
      </c>
    </row>
    <row r="311" spans="1:3" ht="16.5">
      <c r="A311" s="1" t="s">
        <v>733</v>
      </c>
      <c r="B311" s="13" t="s">
        <v>736</v>
      </c>
      <c r="C311" s="33" t="s">
        <v>735</v>
      </c>
    </row>
    <row r="312" spans="1:3" ht="16.5">
      <c r="B312" s="15" t="s">
        <v>99</v>
      </c>
      <c r="C312" s="19" t="s">
        <v>100</v>
      </c>
    </row>
    <row r="313" spans="1:3" ht="16.5">
      <c r="B313" s="13" t="s">
        <v>115</v>
      </c>
      <c r="C313" s="49" t="s">
        <v>116</v>
      </c>
    </row>
    <row r="314" spans="1:3" ht="16.5">
      <c r="B314" s="15" t="s">
        <v>109</v>
      </c>
      <c r="C314" s="34" t="s">
        <v>110</v>
      </c>
    </row>
    <row r="315" spans="1:3" ht="16.5">
      <c r="B315" s="13" t="s">
        <v>117</v>
      </c>
      <c r="C315" s="49" t="s">
        <v>118</v>
      </c>
    </row>
    <row r="316" spans="1:3" ht="16.5">
      <c r="B316" s="15" t="s">
        <v>734</v>
      </c>
      <c r="C316" s="34" t="s">
        <v>82</v>
      </c>
    </row>
    <row r="317" spans="1:3" ht="16.5">
      <c r="B317" s="13" t="s">
        <v>427</v>
      </c>
      <c r="C317" s="20" t="s">
        <v>428</v>
      </c>
    </row>
    <row r="318" spans="1:3" ht="16.5">
      <c r="B318" s="13" t="s">
        <v>429</v>
      </c>
      <c r="C318" s="20" t="s">
        <v>430</v>
      </c>
    </row>
    <row r="319" spans="1:3" ht="16.5">
      <c r="B319" s="13" t="s">
        <v>431</v>
      </c>
      <c r="C319" s="20" t="s">
        <v>432</v>
      </c>
    </row>
    <row r="320" spans="1:3" ht="16.5">
      <c r="B320" s="64" t="s">
        <v>433</v>
      </c>
      <c r="C320" s="65" t="s">
        <v>434</v>
      </c>
    </row>
    <row r="321" spans="1:3" ht="16.5">
      <c r="B321" s="2"/>
      <c r="C321" s="3"/>
    </row>
    <row r="322" spans="1:3" ht="13.15">
      <c r="B322" s="58" t="s">
        <v>64</v>
      </c>
      <c r="C322" s="63" t="s">
        <v>65</v>
      </c>
    </row>
    <row r="323" spans="1:3" ht="16.5">
      <c r="A323" s="1" t="s">
        <v>732</v>
      </c>
      <c r="B323" s="13" t="s">
        <v>93</v>
      </c>
      <c r="C323" s="33" t="s">
        <v>648</v>
      </c>
    </row>
    <row r="324" spans="1:3" ht="16.5">
      <c r="B324" s="22" t="s">
        <v>647</v>
      </c>
      <c r="C324" s="66" t="s">
        <v>2</v>
      </c>
    </row>
    <row r="325" spans="1:3" ht="16.5">
      <c r="B325" s="2"/>
      <c r="C325" s="3"/>
    </row>
    <row r="326" spans="1:3" ht="13.15">
      <c r="B326" s="58" t="s">
        <v>64</v>
      </c>
      <c r="C326" s="63" t="s">
        <v>65</v>
      </c>
    </row>
    <row r="327" spans="1:3" ht="16.5">
      <c r="A327" s="1" t="s">
        <v>728</v>
      </c>
      <c r="B327" s="15" t="s">
        <v>161</v>
      </c>
      <c r="C327" s="14" t="s">
        <v>162</v>
      </c>
    </row>
    <row r="328" spans="1:3" ht="16.5">
      <c r="B328" s="13" t="s">
        <v>157</v>
      </c>
      <c r="C328" s="12" t="s">
        <v>158</v>
      </c>
    </row>
    <row r="329" spans="1:3" ht="16.5">
      <c r="B329" s="15" t="s">
        <v>731</v>
      </c>
      <c r="C329" s="35" t="s">
        <v>422</v>
      </c>
    </row>
    <row r="330" spans="1:3" ht="16.5">
      <c r="B330" s="64" t="s">
        <v>730</v>
      </c>
      <c r="C330" s="57" t="s">
        <v>729</v>
      </c>
    </row>
    <row r="331" spans="1:3" ht="16.5">
      <c r="B331" s="2"/>
      <c r="C331" s="3"/>
    </row>
    <row r="332" spans="1:3" ht="13.15">
      <c r="B332" s="58" t="s">
        <v>64</v>
      </c>
      <c r="C332" s="63" t="s">
        <v>65</v>
      </c>
    </row>
    <row r="333" spans="1:3" ht="16.5">
      <c r="A333" s="1" t="s">
        <v>712</v>
      </c>
      <c r="B333" s="15" t="s">
        <v>727</v>
      </c>
      <c r="C333" s="14" t="s">
        <v>726</v>
      </c>
    </row>
    <row r="334" spans="1:3" ht="16.5">
      <c r="B334" s="13" t="s">
        <v>725</v>
      </c>
      <c r="C334" s="12" t="s">
        <v>724</v>
      </c>
    </row>
    <row r="335" spans="1:3" ht="16.5">
      <c r="B335" s="15" t="s">
        <v>723</v>
      </c>
      <c r="C335" s="14" t="s">
        <v>722</v>
      </c>
    </row>
    <row r="336" spans="1:3" ht="16.5">
      <c r="B336" s="13" t="s">
        <v>721</v>
      </c>
      <c r="C336" s="12" t="s">
        <v>720</v>
      </c>
    </row>
    <row r="337" spans="1:3" ht="16.5">
      <c r="B337" s="15" t="s">
        <v>719</v>
      </c>
      <c r="C337" s="14" t="s">
        <v>717</v>
      </c>
    </row>
    <row r="338" spans="1:3" ht="16.5">
      <c r="B338" s="13" t="s">
        <v>718</v>
      </c>
      <c r="C338" s="12" t="s">
        <v>717</v>
      </c>
    </row>
    <row r="339" spans="1:3" ht="16.5">
      <c r="B339" s="15" t="s">
        <v>716</v>
      </c>
      <c r="C339" s="14" t="s">
        <v>715</v>
      </c>
    </row>
    <row r="340" spans="1:3" ht="16.5">
      <c r="B340" s="13" t="s">
        <v>714</v>
      </c>
      <c r="C340" s="12" t="s">
        <v>713</v>
      </c>
    </row>
    <row r="341" spans="1:3" ht="16.5">
      <c r="B341" s="15" t="s">
        <v>51</v>
      </c>
      <c r="C341" s="14" t="s">
        <v>315</v>
      </c>
    </row>
    <row r="342" spans="1:3" ht="16.5">
      <c r="B342" s="64" t="s">
        <v>438</v>
      </c>
      <c r="C342" s="26" t="s">
        <v>439</v>
      </c>
    </row>
    <row r="343" spans="1:3" ht="16.5">
      <c r="B343" s="2"/>
      <c r="C343" s="3"/>
    </row>
    <row r="344" spans="1:3" ht="13.15">
      <c r="B344" s="58" t="s">
        <v>64</v>
      </c>
      <c r="C344" s="63" t="s">
        <v>65</v>
      </c>
    </row>
    <row r="345" spans="1:3" ht="16.5">
      <c r="A345" s="1" t="s">
        <v>709</v>
      </c>
      <c r="B345" s="15" t="s">
        <v>145</v>
      </c>
      <c r="C345" s="14" t="s">
        <v>146</v>
      </c>
    </row>
    <row r="346" spans="1:3" ht="16.5">
      <c r="B346" s="13" t="s">
        <v>711</v>
      </c>
      <c r="C346" s="12" t="s">
        <v>710</v>
      </c>
    </row>
    <row r="347" spans="1:3" ht="16.5">
      <c r="B347" s="15" t="s">
        <v>133</v>
      </c>
      <c r="C347" s="14" t="s">
        <v>134</v>
      </c>
    </row>
    <row r="348" spans="1:3" ht="16.5">
      <c r="B348" s="64" t="s">
        <v>135</v>
      </c>
      <c r="C348" s="57" t="s">
        <v>136</v>
      </c>
    </row>
    <row r="349" spans="1:3" ht="16.5">
      <c r="B349" s="2"/>
      <c r="C349" s="3"/>
    </row>
    <row r="350" spans="1:3" ht="13.15">
      <c r="B350" s="58" t="s">
        <v>64</v>
      </c>
      <c r="C350" s="63" t="s">
        <v>65</v>
      </c>
    </row>
    <row r="351" spans="1:3" ht="16.5">
      <c r="A351" s="1" t="s">
        <v>708</v>
      </c>
      <c r="B351" s="15" t="s">
        <v>177</v>
      </c>
      <c r="C351" s="14" t="s">
        <v>178</v>
      </c>
    </row>
    <row r="352" spans="1:3" ht="16.5">
      <c r="B352" s="13" t="s">
        <v>170</v>
      </c>
      <c r="C352" s="12" t="s">
        <v>171</v>
      </c>
    </row>
    <row r="353" spans="1:3" ht="16.5">
      <c r="B353" s="22" t="s">
        <v>173</v>
      </c>
      <c r="C353" s="21" t="s">
        <v>174</v>
      </c>
    </row>
    <row r="354" spans="1:3" ht="16.5">
      <c r="B354" s="2"/>
      <c r="C354" s="3"/>
    </row>
    <row r="355" spans="1:3" ht="13.15">
      <c r="B355" s="58" t="s">
        <v>64</v>
      </c>
      <c r="C355" s="63" t="s">
        <v>65</v>
      </c>
    </row>
    <row r="356" spans="1:3" ht="16.5">
      <c r="A356" s="1" t="s">
        <v>705</v>
      </c>
      <c r="B356" s="15" t="s">
        <v>292</v>
      </c>
      <c r="C356" s="14" t="s">
        <v>293</v>
      </c>
    </row>
    <row r="357" spans="1:3" ht="16.5">
      <c r="B357" s="13" t="s">
        <v>284</v>
      </c>
      <c r="C357" s="12" t="s">
        <v>285</v>
      </c>
    </row>
    <row r="358" spans="1:3" ht="16.5">
      <c r="B358" s="15" t="s">
        <v>55</v>
      </c>
      <c r="C358" s="14" t="s">
        <v>286</v>
      </c>
    </row>
    <row r="359" spans="1:3" ht="16.5">
      <c r="B359" s="13" t="s">
        <v>27</v>
      </c>
      <c r="C359" s="12" t="s">
        <v>287</v>
      </c>
    </row>
    <row r="360" spans="1:3" ht="16.5">
      <c r="B360" s="15" t="s">
        <v>288</v>
      </c>
      <c r="C360" s="14" t="s">
        <v>289</v>
      </c>
    </row>
    <row r="361" spans="1:3" ht="16.5">
      <c r="B361" s="13" t="s">
        <v>707</v>
      </c>
      <c r="C361" s="12" t="s">
        <v>706</v>
      </c>
    </row>
    <row r="362" spans="1:3" ht="16.5">
      <c r="B362" s="22" t="s">
        <v>405</v>
      </c>
      <c r="C362" s="24" t="s">
        <v>406</v>
      </c>
    </row>
    <row r="363" spans="1:3" ht="16.5">
      <c r="B363" s="2"/>
      <c r="C363" s="3"/>
    </row>
    <row r="364" spans="1:3" ht="13.15">
      <c r="B364" s="58" t="s">
        <v>64</v>
      </c>
      <c r="C364" s="63" t="s">
        <v>65</v>
      </c>
    </row>
    <row r="365" spans="1:3" ht="16.5">
      <c r="A365" s="1" t="s">
        <v>538</v>
      </c>
      <c r="B365" s="13" t="s">
        <v>351</v>
      </c>
      <c r="C365" s="12" t="s">
        <v>352</v>
      </c>
    </row>
    <row r="366" spans="1:3" ht="16.5">
      <c r="B366" s="15" t="s">
        <v>353</v>
      </c>
      <c r="C366" s="14" t="s">
        <v>354</v>
      </c>
    </row>
    <row r="367" spans="1:3" ht="16.5">
      <c r="B367" s="13" t="s">
        <v>540</v>
      </c>
      <c r="C367" s="12" t="s">
        <v>539</v>
      </c>
    </row>
    <row r="368" spans="1:3" ht="16.5">
      <c r="B368" s="15" t="s">
        <v>356</v>
      </c>
      <c r="C368" s="14" t="s">
        <v>357</v>
      </c>
    </row>
    <row r="369" spans="1:3" ht="16.5">
      <c r="B369" s="13" t="s">
        <v>49</v>
      </c>
      <c r="C369" s="12" t="s">
        <v>358</v>
      </c>
    </row>
    <row r="370" spans="1:3" ht="16.5">
      <c r="B370" s="15" t="s">
        <v>388</v>
      </c>
      <c r="C370" s="14" t="s">
        <v>387</v>
      </c>
    </row>
    <row r="371" spans="1:3" ht="16.5">
      <c r="B371" s="13" t="s">
        <v>704</v>
      </c>
      <c r="C371" s="12" t="s">
        <v>703</v>
      </c>
    </row>
    <row r="372" spans="1:3" ht="16.5">
      <c r="B372" s="15" t="s">
        <v>362</v>
      </c>
      <c r="C372" s="14" t="s">
        <v>363</v>
      </c>
    </row>
    <row r="373" spans="1:3" ht="16.5">
      <c r="B373" s="13" t="s">
        <v>390</v>
      </c>
      <c r="C373" s="12" t="s">
        <v>389</v>
      </c>
    </row>
    <row r="374" spans="1:3" ht="16.5">
      <c r="B374" s="15" t="s">
        <v>392</v>
      </c>
      <c r="C374" s="14" t="s">
        <v>391</v>
      </c>
    </row>
    <row r="375" spans="1:3" ht="16.5">
      <c r="B375" s="13" t="s">
        <v>393</v>
      </c>
      <c r="C375" s="12" t="s">
        <v>389</v>
      </c>
    </row>
    <row r="376" spans="1:3" ht="16.5">
      <c r="B376" s="15" t="s">
        <v>395</v>
      </c>
      <c r="C376" s="14" t="s">
        <v>394</v>
      </c>
    </row>
    <row r="377" spans="1:3" ht="16.5">
      <c r="B377" s="13" t="s">
        <v>396</v>
      </c>
      <c r="C377" s="12" t="s">
        <v>397</v>
      </c>
    </row>
    <row r="378" spans="1:3" ht="16.5">
      <c r="B378" s="22" t="s">
        <v>399</v>
      </c>
      <c r="C378" s="21" t="s">
        <v>398</v>
      </c>
    </row>
    <row r="379" spans="1:3" ht="16.5">
      <c r="B379" s="2"/>
      <c r="C379" s="3"/>
    </row>
    <row r="380" spans="1:3" ht="13.15">
      <c r="B380" s="58" t="s">
        <v>64</v>
      </c>
      <c r="C380" s="63" t="s">
        <v>65</v>
      </c>
    </row>
    <row r="381" spans="1:3" ht="16.5">
      <c r="A381" s="1" t="s">
        <v>700</v>
      </c>
      <c r="B381" s="13" t="s">
        <v>411</v>
      </c>
      <c r="C381" s="12" t="s">
        <v>412</v>
      </c>
    </row>
    <row r="382" spans="1:3" ht="16.5">
      <c r="B382" s="15" t="s">
        <v>413</v>
      </c>
      <c r="C382" s="14" t="s">
        <v>414</v>
      </c>
    </row>
    <row r="383" spans="1:3" ht="16.5">
      <c r="B383" s="13" t="s">
        <v>415</v>
      </c>
      <c r="C383" s="12" t="s">
        <v>416</v>
      </c>
    </row>
    <row r="384" spans="1:3" ht="16.5">
      <c r="B384" s="13" t="s">
        <v>417</v>
      </c>
      <c r="C384" s="12" t="s">
        <v>418</v>
      </c>
    </row>
    <row r="385" spans="1:3" ht="16.5">
      <c r="B385" s="13" t="s">
        <v>419</v>
      </c>
      <c r="C385" s="12" t="s">
        <v>420</v>
      </c>
    </row>
    <row r="386" spans="1:3" ht="16.5">
      <c r="B386" s="15" t="s">
        <v>79</v>
      </c>
      <c r="C386" s="14" t="s">
        <v>80</v>
      </c>
    </row>
    <row r="387" spans="1:3" ht="16.5">
      <c r="B387" s="13" t="s">
        <v>81</v>
      </c>
      <c r="C387" s="12" t="s">
        <v>82</v>
      </c>
    </row>
    <row r="388" spans="1:3" ht="16.5">
      <c r="B388" s="22" t="s">
        <v>702</v>
      </c>
      <c r="C388" s="21" t="s">
        <v>701</v>
      </c>
    </row>
    <row r="389" spans="1:3" ht="16.5">
      <c r="B389" s="2"/>
      <c r="C389" s="3"/>
    </row>
    <row r="390" spans="1:3" ht="13.15">
      <c r="B390" s="58" t="s">
        <v>64</v>
      </c>
      <c r="C390" s="63" t="s">
        <v>65</v>
      </c>
    </row>
    <row r="391" spans="1:3" ht="16.5">
      <c r="A391" s="1" t="s">
        <v>697</v>
      </c>
      <c r="B391" s="13" t="s">
        <v>699</v>
      </c>
      <c r="C391" s="12" t="s">
        <v>698</v>
      </c>
    </row>
    <row r="392" spans="1:3" ht="16.5">
      <c r="B392" s="15" t="s">
        <v>365</v>
      </c>
      <c r="C392" s="14" t="s">
        <v>366</v>
      </c>
    </row>
    <row r="393" spans="1:3" ht="16.5">
      <c r="B393" s="64" t="s">
        <v>62</v>
      </c>
      <c r="C393" s="57" t="s">
        <v>367</v>
      </c>
    </row>
    <row r="394" spans="1:3" ht="16.5">
      <c r="B394" s="2"/>
      <c r="C394" s="3"/>
    </row>
    <row r="395" spans="1:3" ht="13.15">
      <c r="B395" s="58" t="s">
        <v>64</v>
      </c>
      <c r="C395" s="58" t="s">
        <v>65</v>
      </c>
    </row>
    <row r="396" spans="1:3" ht="16.5">
      <c r="A396" s="1" t="s">
        <v>696</v>
      </c>
      <c r="B396" s="13" t="s">
        <v>50</v>
      </c>
      <c r="C396" s="49" t="s">
        <v>216</v>
      </c>
    </row>
    <row r="397" spans="1:3" ht="16.5">
      <c r="B397" s="64" t="s">
        <v>39</v>
      </c>
      <c r="C397" s="67" t="s">
        <v>213</v>
      </c>
    </row>
    <row r="398" spans="1:3" ht="16.5">
      <c r="B398" s="2"/>
      <c r="C398" s="3"/>
    </row>
    <row r="399" spans="1:3" ht="13.15">
      <c r="B399" s="58" t="s">
        <v>64</v>
      </c>
      <c r="C399" s="63" t="s">
        <v>65</v>
      </c>
    </row>
    <row r="400" spans="1:3" ht="16.5">
      <c r="A400" s="1" t="s">
        <v>692</v>
      </c>
      <c r="B400" s="15" t="s">
        <v>54</v>
      </c>
      <c r="C400" s="14" t="s">
        <v>185</v>
      </c>
    </row>
    <row r="401" spans="1:3" ht="16.5">
      <c r="B401" s="13" t="s">
        <v>484</v>
      </c>
      <c r="C401" s="12" t="s">
        <v>483</v>
      </c>
    </row>
    <row r="402" spans="1:3" ht="16.5">
      <c r="B402" s="15" t="s">
        <v>695</v>
      </c>
      <c r="C402" s="14" t="s">
        <v>694</v>
      </c>
    </row>
    <row r="403" spans="1:3" ht="16.5">
      <c r="B403" s="13" t="s">
        <v>425</v>
      </c>
      <c r="C403" s="12" t="s">
        <v>426</v>
      </c>
    </row>
    <row r="404" spans="1:3" ht="16.5">
      <c r="B404" s="15" t="s">
        <v>202</v>
      </c>
      <c r="C404" s="14" t="s">
        <v>203</v>
      </c>
    </row>
    <row r="405" spans="1:3" ht="16.5">
      <c r="B405" s="13" t="s">
        <v>197</v>
      </c>
      <c r="C405" s="12" t="s">
        <v>198</v>
      </c>
    </row>
    <row r="406" spans="1:3" ht="16.5">
      <c r="B406" s="15" t="s">
        <v>204</v>
      </c>
      <c r="C406" s="14" t="s">
        <v>205</v>
      </c>
    </row>
    <row r="407" spans="1:3" ht="16.5">
      <c r="B407" s="64" t="s">
        <v>423</v>
      </c>
      <c r="C407" s="57" t="s">
        <v>693</v>
      </c>
    </row>
    <row r="408" spans="1:3" ht="16.5">
      <c r="B408" s="2"/>
      <c r="C408" s="3"/>
    </row>
    <row r="409" spans="1:3" ht="13.15">
      <c r="B409" s="58" t="s">
        <v>64</v>
      </c>
      <c r="C409" s="63" t="s">
        <v>65</v>
      </c>
    </row>
    <row r="410" spans="1:3" ht="16.5">
      <c r="A410" s="1" t="s">
        <v>689</v>
      </c>
      <c r="B410" s="15" t="s">
        <v>222</v>
      </c>
      <c r="C410" s="32" t="s">
        <v>223</v>
      </c>
    </row>
    <row r="411" spans="1:3" ht="16.5">
      <c r="B411" s="13" t="s">
        <v>224</v>
      </c>
      <c r="C411" s="33" t="s">
        <v>225</v>
      </c>
    </row>
    <row r="412" spans="1:3" ht="16.5">
      <c r="B412" s="15" t="s">
        <v>691</v>
      </c>
      <c r="C412" s="34" t="s">
        <v>690</v>
      </c>
    </row>
    <row r="413" spans="1:3" ht="16.5">
      <c r="B413" s="13" t="s">
        <v>249</v>
      </c>
      <c r="C413" s="49" t="s">
        <v>250</v>
      </c>
    </row>
    <row r="414" spans="1:3" ht="16.5">
      <c r="B414" s="15" t="s">
        <v>60</v>
      </c>
      <c r="C414" s="53" t="s">
        <v>262</v>
      </c>
    </row>
    <row r="415" spans="1:3" ht="16.5">
      <c r="B415" s="13" t="s">
        <v>252</v>
      </c>
      <c r="C415" s="49" t="s">
        <v>253</v>
      </c>
    </row>
    <row r="416" spans="1:3" ht="16.5">
      <c r="B416" s="15" t="s">
        <v>257</v>
      </c>
      <c r="C416" s="34" t="s">
        <v>258</v>
      </c>
    </row>
    <row r="417" spans="1:4" ht="16.5">
      <c r="B417" s="64" t="s">
        <v>242</v>
      </c>
      <c r="C417" s="55" t="s">
        <v>243</v>
      </c>
    </row>
    <row r="418" spans="1:4" ht="16.5">
      <c r="B418" s="2"/>
      <c r="C418" s="3"/>
      <c r="D418" s="52"/>
    </row>
    <row r="419" spans="1:4" ht="16.5">
      <c r="B419" s="2"/>
      <c r="C419" s="3"/>
      <c r="D419" s="28"/>
    </row>
    <row r="420" spans="1:4" ht="13.15">
      <c r="B420" s="58" t="s">
        <v>64</v>
      </c>
      <c r="C420" s="63" t="s">
        <v>65</v>
      </c>
    </row>
    <row r="421" spans="1:4" ht="15">
      <c r="A421" s="1" t="s">
        <v>684</v>
      </c>
      <c r="B421" s="68" t="s">
        <v>688</v>
      </c>
      <c r="C421" s="49" t="s">
        <v>687</v>
      </c>
    </row>
    <row r="422" spans="1:4" ht="15">
      <c r="B422" s="62" t="s">
        <v>686</v>
      </c>
      <c r="C422" s="34" t="s">
        <v>685</v>
      </c>
    </row>
    <row r="423" spans="1:4" ht="16.5">
      <c r="B423" s="22" t="s">
        <v>691</v>
      </c>
      <c r="C423" s="31" t="s">
        <v>690</v>
      </c>
    </row>
    <row r="425" spans="1:4" ht="13.15">
      <c r="B425" s="58" t="s">
        <v>64</v>
      </c>
      <c r="C425" s="63" t="s">
        <v>65</v>
      </c>
    </row>
    <row r="426" spans="1:4" ht="15">
      <c r="A426" s="1" t="s">
        <v>676</v>
      </c>
      <c r="B426" s="68" t="s">
        <v>683</v>
      </c>
      <c r="C426" s="51" t="s">
        <v>436</v>
      </c>
    </row>
    <row r="427" spans="1:4" ht="15">
      <c r="B427" s="62" t="s">
        <v>682</v>
      </c>
      <c r="C427" s="34" t="s">
        <v>681</v>
      </c>
    </row>
    <row r="428" spans="1:4" ht="15">
      <c r="B428" s="69" t="s">
        <v>680</v>
      </c>
      <c r="C428" s="55" t="s">
        <v>679</v>
      </c>
    </row>
    <row r="429" spans="1:4" ht="16.5">
      <c r="B429" s="2"/>
      <c r="C429" s="3"/>
    </row>
    <row r="430" spans="1:4" ht="13.15">
      <c r="B430" s="58" t="s">
        <v>64</v>
      </c>
      <c r="C430" s="63" t="s">
        <v>65</v>
      </c>
    </row>
    <row r="431" spans="1:4" ht="15">
      <c r="A431" s="1" t="s">
        <v>649</v>
      </c>
      <c r="B431" s="62" t="s">
        <v>678</v>
      </c>
      <c r="C431" s="34" t="s">
        <v>677</v>
      </c>
    </row>
    <row r="432" spans="1:4" ht="15">
      <c r="B432" s="68" t="s">
        <v>675</v>
      </c>
      <c r="C432" s="49" t="s">
        <v>674</v>
      </c>
    </row>
    <row r="433" spans="1:3" ht="15">
      <c r="B433" s="60" t="s">
        <v>673</v>
      </c>
      <c r="C433" s="34" t="s">
        <v>672</v>
      </c>
    </row>
    <row r="434" spans="1:3" ht="15">
      <c r="B434" s="68" t="s">
        <v>671</v>
      </c>
      <c r="C434" s="49" t="s">
        <v>670</v>
      </c>
    </row>
    <row r="435" spans="1:3" ht="15">
      <c r="B435" s="62" t="s">
        <v>669</v>
      </c>
      <c r="C435" s="34" t="s">
        <v>668</v>
      </c>
    </row>
    <row r="436" spans="1:3" ht="15">
      <c r="B436" s="61" t="s">
        <v>667</v>
      </c>
      <c r="C436" s="49" t="s">
        <v>666</v>
      </c>
    </row>
    <row r="437" spans="1:3" ht="15">
      <c r="B437" s="62" t="s">
        <v>665</v>
      </c>
      <c r="C437" s="34" t="s">
        <v>664</v>
      </c>
    </row>
    <row r="438" spans="1:3" ht="15">
      <c r="B438" s="61" t="s">
        <v>663</v>
      </c>
      <c r="C438" s="49" t="s">
        <v>662</v>
      </c>
    </row>
    <row r="439" spans="1:3" ht="15">
      <c r="B439" s="62" t="s">
        <v>427</v>
      </c>
      <c r="C439" s="34" t="s">
        <v>661</v>
      </c>
    </row>
    <row r="440" spans="1:3" ht="15">
      <c r="B440" s="61" t="s">
        <v>660</v>
      </c>
      <c r="C440" s="49" t="s">
        <v>659</v>
      </c>
    </row>
    <row r="441" spans="1:3" ht="15">
      <c r="B441" s="62" t="s">
        <v>658</v>
      </c>
      <c r="C441" s="34" t="s">
        <v>657</v>
      </c>
    </row>
    <row r="442" spans="1:3" ht="15">
      <c r="B442" s="61" t="s">
        <v>656</v>
      </c>
      <c r="C442" s="49" t="s">
        <v>655</v>
      </c>
    </row>
    <row r="443" spans="1:3" ht="15">
      <c r="B443" s="62" t="s">
        <v>654</v>
      </c>
      <c r="C443" s="34" t="s">
        <v>653</v>
      </c>
    </row>
    <row r="444" spans="1:3" ht="15">
      <c r="B444" s="61" t="s">
        <v>652</v>
      </c>
      <c r="C444" s="49" t="s">
        <v>651</v>
      </c>
    </row>
    <row r="445" spans="1:3" ht="15">
      <c r="B445" s="70" t="s">
        <v>431</v>
      </c>
      <c r="C445" s="31" t="s">
        <v>650</v>
      </c>
    </row>
    <row r="446" spans="1:3" ht="16.5">
      <c r="B446" s="2"/>
      <c r="C446" s="3"/>
    </row>
    <row r="447" spans="1:3" ht="13.15">
      <c r="B447" s="58" t="s">
        <v>64</v>
      </c>
      <c r="C447" s="63" t="s">
        <v>65</v>
      </c>
    </row>
    <row r="448" spans="1:3" ht="16.5">
      <c r="A448" s="1" t="s">
        <v>634</v>
      </c>
      <c r="B448" s="13" t="s">
        <v>93</v>
      </c>
      <c r="C448" s="12" t="s">
        <v>648</v>
      </c>
    </row>
    <row r="449" spans="1:3" ht="16.5">
      <c r="B449" s="15" t="s">
        <v>647</v>
      </c>
      <c r="C449" s="14" t="s">
        <v>2</v>
      </c>
    </row>
    <row r="450" spans="1:3" ht="15">
      <c r="B450" s="68" t="s">
        <v>646</v>
      </c>
      <c r="C450" s="49" t="s">
        <v>645</v>
      </c>
    </row>
    <row r="451" spans="1:3" ht="15">
      <c r="B451" s="62" t="s">
        <v>644</v>
      </c>
      <c r="C451" s="34" t="s">
        <v>643</v>
      </c>
    </row>
    <row r="452" spans="1:3" ht="15">
      <c r="B452" s="68" t="s">
        <v>642</v>
      </c>
      <c r="C452" s="49" t="s">
        <v>641</v>
      </c>
    </row>
    <row r="453" spans="1:3" ht="15">
      <c r="B453" s="60" t="s">
        <v>640</v>
      </c>
      <c r="C453" s="34" t="s">
        <v>639</v>
      </c>
    </row>
    <row r="454" spans="1:3" ht="15">
      <c r="B454" s="68" t="s">
        <v>638</v>
      </c>
      <c r="C454" s="49" t="s">
        <v>637</v>
      </c>
    </row>
    <row r="455" spans="1:3" ht="15">
      <c r="B455" s="70" t="s">
        <v>636</v>
      </c>
      <c r="C455" s="31" t="s">
        <v>635</v>
      </c>
    </row>
    <row r="456" spans="1:3" ht="16.5">
      <c r="B456" s="2"/>
      <c r="C456" s="3"/>
    </row>
    <row r="457" spans="1:3" ht="13.15">
      <c r="B457" s="58" t="s">
        <v>64</v>
      </c>
      <c r="C457" s="63" t="s">
        <v>65</v>
      </c>
    </row>
    <row r="458" spans="1:3" ht="15">
      <c r="A458" s="1" t="s">
        <v>623</v>
      </c>
      <c r="B458" s="61" t="s">
        <v>633</v>
      </c>
      <c r="C458" s="49" t="s">
        <v>632</v>
      </c>
    </row>
    <row r="459" spans="1:3" ht="15">
      <c r="B459" s="62" t="s">
        <v>631</v>
      </c>
      <c r="C459" s="34" t="s">
        <v>630</v>
      </c>
    </row>
    <row r="460" spans="1:3" ht="15">
      <c r="B460" s="61" t="s">
        <v>629</v>
      </c>
      <c r="C460" s="49" t="s">
        <v>628</v>
      </c>
    </row>
    <row r="461" spans="1:3" ht="15">
      <c r="B461" s="62" t="s">
        <v>627</v>
      </c>
      <c r="C461" s="34" t="s">
        <v>626</v>
      </c>
    </row>
    <row r="462" spans="1:3" ht="15">
      <c r="B462" s="69" t="s">
        <v>625</v>
      </c>
      <c r="C462" s="55" t="s">
        <v>624</v>
      </c>
    </row>
    <row r="463" spans="1:3" ht="16.5">
      <c r="B463" s="2"/>
      <c r="C463" s="3"/>
    </row>
    <row r="464" spans="1:3" ht="13.15">
      <c r="B464" s="58" t="s">
        <v>64</v>
      </c>
      <c r="C464" s="63" t="s">
        <v>65</v>
      </c>
    </row>
    <row r="465" spans="1:3" ht="15">
      <c r="A465" s="1" t="s">
        <v>595</v>
      </c>
      <c r="B465" s="60" t="s">
        <v>622</v>
      </c>
      <c r="C465" s="34" t="s">
        <v>621</v>
      </c>
    </row>
    <row r="466" spans="1:3" ht="15">
      <c r="B466" s="61" t="s">
        <v>620</v>
      </c>
      <c r="C466" s="49" t="s">
        <v>619</v>
      </c>
    </row>
    <row r="467" spans="1:3" ht="15">
      <c r="B467" s="62" t="s">
        <v>618</v>
      </c>
      <c r="C467" s="34" t="s">
        <v>617</v>
      </c>
    </row>
    <row r="468" spans="1:3" ht="15">
      <c r="B468" s="61" t="s">
        <v>616</v>
      </c>
      <c r="C468" s="49" t="s">
        <v>615</v>
      </c>
    </row>
    <row r="469" spans="1:3" ht="15">
      <c r="B469" s="62" t="s">
        <v>614</v>
      </c>
      <c r="C469" s="34" t="s">
        <v>613</v>
      </c>
    </row>
    <row r="470" spans="1:3" ht="15">
      <c r="B470" s="61" t="s">
        <v>612</v>
      </c>
      <c r="C470" s="49" t="s">
        <v>611</v>
      </c>
    </row>
    <row r="471" spans="1:3" ht="15">
      <c r="B471" s="62" t="s">
        <v>610</v>
      </c>
      <c r="C471" s="34" t="s">
        <v>609</v>
      </c>
    </row>
    <row r="472" spans="1:3" ht="15">
      <c r="B472" s="61" t="s">
        <v>608</v>
      </c>
      <c r="C472" s="49" t="s">
        <v>607</v>
      </c>
    </row>
    <row r="473" spans="1:3" ht="15">
      <c r="B473" s="62" t="s">
        <v>606</v>
      </c>
      <c r="C473" s="34" t="s">
        <v>605</v>
      </c>
    </row>
    <row r="474" spans="1:3" ht="15">
      <c r="B474" s="61" t="s">
        <v>604</v>
      </c>
      <c r="C474" s="49" t="s">
        <v>603</v>
      </c>
    </row>
    <row r="475" spans="1:3" ht="15">
      <c r="B475" s="62" t="s">
        <v>602</v>
      </c>
      <c r="C475" s="34" t="s">
        <v>601</v>
      </c>
    </row>
    <row r="476" spans="1:3" ht="15">
      <c r="B476" s="61" t="s">
        <v>600</v>
      </c>
      <c r="C476" s="49" t="s">
        <v>599</v>
      </c>
    </row>
    <row r="477" spans="1:3" ht="15">
      <c r="B477" s="62" t="s">
        <v>598</v>
      </c>
      <c r="C477" s="34" t="s">
        <v>597</v>
      </c>
    </row>
    <row r="478" spans="1:3" ht="15">
      <c r="B478" s="69" t="s">
        <v>438</v>
      </c>
      <c r="C478" s="55" t="s">
        <v>596</v>
      </c>
    </row>
    <row r="479" spans="1:3" ht="16.5">
      <c r="B479" s="2"/>
      <c r="C479" s="3"/>
    </row>
    <row r="480" spans="1:3" ht="13.15">
      <c r="B480" s="58" t="s">
        <v>64</v>
      </c>
      <c r="C480" s="63" t="s">
        <v>65</v>
      </c>
    </row>
    <row r="481" spans="1:3" ht="15">
      <c r="A481" s="1" t="s">
        <v>576</v>
      </c>
      <c r="B481" s="60" t="s">
        <v>594</v>
      </c>
      <c r="C481" s="34" t="s">
        <v>593</v>
      </c>
    </row>
    <row r="482" spans="1:3" ht="15">
      <c r="B482" s="61" t="s">
        <v>592</v>
      </c>
      <c r="C482" s="49" t="s">
        <v>591</v>
      </c>
    </row>
    <row r="483" spans="1:3" ht="15">
      <c r="B483" s="62" t="s">
        <v>590</v>
      </c>
      <c r="C483" s="34" t="s">
        <v>589</v>
      </c>
    </row>
    <row r="484" spans="1:3" ht="15">
      <c r="B484" s="61" t="s">
        <v>588</v>
      </c>
      <c r="C484" s="49" t="s">
        <v>587</v>
      </c>
    </row>
    <row r="485" spans="1:3" ht="15">
      <c r="B485" s="62" t="s">
        <v>586</v>
      </c>
      <c r="C485" s="34" t="s">
        <v>585</v>
      </c>
    </row>
    <row r="486" spans="1:3" ht="15">
      <c r="B486" s="61" t="s">
        <v>584</v>
      </c>
      <c r="C486" s="49" t="s">
        <v>583</v>
      </c>
    </row>
    <row r="487" spans="1:3" ht="15">
      <c r="B487" s="62" t="s">
        <v>582</v>
      </c>
      <c r="C487" s="34" t="s">
        <v>581</v>
      </c>
    </row>
    <row r="488" spans="1:3" ht="15">
      <c r="B488" s="61" t="s">
        <v>580</v>
      </c>
      <c r="C488" s="49" t="s">
        <v>579</v>
      </c>
    </row>
    <row r="489" spans="1:3" ht="15">
      <c r="B489" s="70" t="s">
        <v>578</v>
      </c>
      <c r="C489" s="31" t="s">
        <v>577</v>
      </c>
    </row>
    <row r="491" spans="1:3" ht="13.15">
      <c r="B491" s="58" t="s">
        <v>64</v>
      </c>
      <c r="C491" s="63" t="s">
        <v>65</v>
      </c>
    </row>
    <row r="492" spans="1:3" ht="15">
      <c r="A492" s="1" t="s">
        <v>567</v>
      </c>
      <c r="B492" s="68" t="s">
        <v>575</v>
      </c>
      <c r="C492" s="49" t="s">
        <v>574</v>
      </c>
    </row>
    <row r="493" spans="1:3" ht="15">
      <c r="B493" s="62" t="s">
        <v>573</v>
      </c>
      <c r="C493" s="34" t="s">
        <v>572</v>
      </c>
    </row>
    <row r="494" spans="1:3" ht="15">
      <c r="B494" s="61" t="s">
        <v>571</v>
      </c>
      <c r="C494" s="49" t="s">
        <v>570</v>
      </c>
    </row>
    <row r="495" spans="1:3" ht="15">
      <c r="B495" s="70" t="s">
        <v>569</v>
      </c>
      <c r="C495" s="31" t="s">
        <v>568</v>
      </c>
    </row>
    <row r="496" spans="1:3" ht="16.5">
      <c r="B496" s="2"/>
      <c r="C496" s="3"/>
    </row>
    <row r="497" spans="1:3" ht="13.15">
      <c r="B497" s="58" t="s">
        <v>64</v>
      </c>
      <c r="C497" s="63" t="s">
        <v>65</v>
      </c>
    </row>
    <row r="498" spans="1:3" ht="15">
      <c r="A498" s="1" t="s">
        <v>552</v>
      </c>
      <c r="B498" s="61" t="s">
        <v>566</v>
      </c>
      <c r="C498" s="49" t="s">
        <v>565</v>
      </c>
    </row>
    <row r="499" spans="1:3" ht="15">
      <c r="B499" s="62" t="s">
        <v>564</v>
      </c>
      <c r="C499" s="34" t="s">
        <v>563</v>
      </c>
    </row>
    <row r="500" spans="1:3" ht="15">
      <c r="B500" s="61" t="s">
        <v>562</v>
      </c>
      <c r="C500" s="49" t="s">
        <v>561</v>
      </c>
    </row>
    <row r="501" spans="1:3" ht="15">
      <c r="B501" s="62" t="s">
        <v>560</v>
      </c>
      <c r="C501" s="34" t="s">
        <v>559</v>
      </c>
    </row>
    <row r="502" spans="1:3" ht="15">
      <c r="B502" s="61" t="s">
        <v>558</v>
      </c>
      <c r="C502" s="49" t="s">
        <v>557</v>
      </c>
    </row>
    <row r="503" spans="1:3" ht="15">
      <c r="B503" s="62" t="s">
        <v>556</v>
      </c>
      <c r="C503" s="34" t="s">
        <v>555</v>
      </c>
    </row>
    <row r="504" spans="1:3" ht="15">
      <c r="B504" s="69" t="s">
        <v>554</v>
      </c>
      <c r="C504" s="55" t="s">
        <v>553</v>
      </c>
    </row>
    <row r="505" spans="1:3" ht="16.5">
      <c r="B505" s="2"/>
      <c r="C505" s="3"/>
    </row>
    <row r="506" spans="1:3" ht="13.15">
      <c r="B506" s="58" t="s">
        <v>64</v>
      </c>
      <c r="C506" s="63" t="s">
        <v>65</v>
      </c>
    </row>
    <row r="507" spans="1:3" ht="15">
      <c r="A507" s="1" t="s">
        <v>549</v>
      </c>
      <c r="B507" s="60" t="s">
        <v>551</v>
      </c>
      <c r="C507" s="34" t="s">
        <v>550</v>
      </c>
    </row>
    <row r="508" spans="1:3" ht="15">
      <c r="B508" s="61" t="s">
        <v>548</v>
      </c>
      <c r="C508" s="49" t="s">
        <v>547</v>
      </c>
    </row>
    <row r="509" spans="1:3" ht="15">
      <c r="B509" s="62" t="s">
        <v>546</v>
      </c>
      <c r="C509" s="34" t="s">
        <v>545</v>
      </c>
    </row>
    <row r="510" spans="1:3" ht="15">
      <c r="B510" s="61" t="s">
        <v>544</v>
      </c>
      <c r="C510" s="49" t="s">
        <v>543</v>
      </c>
    </row>
    <row r="511" spans="1:3" ht="15">
      <c r="B511" s="62" t="s">
        <v>542</v>
      </c>
      <c r="C511" s="34" t="s">
        <v>541</v>
      </c>
    </row>
    <row r="512" spans="1:3" ht="15">
      <c r="B512" s="61" t="s">
        <v>540</v>
      </c>
      <c r="C512" s="49" t="s">
        <v>539</v>
      </c>
    </row>
    <row r="513" spans="1:3" ht="15">
      <c r="B513" s="62" t="s">
        <v>388</v>
      </c>
      <c r="C513" s="34" t="s">
        <v>387</v>
      </c>
    </row>
    <row r="514" spans="1:3" ht="15">
      <c r="B514" s="61" t="s">
        <v>390</v>
      </c>
      <c r="C514" s="49" t="s">
        <v>389</v>
      </c>
    </row>
    <row r="515" spans="1:3" ht="15">
      <c r="B515" s="62" t="s">
        <v>392</v>
      </c>
      <c r="C515" s="34" t="s">
        <v>391</v>
      </c>
    </row>
    <row r="516" spans="1:3" ht="15">
      <c r="B516" s="61" t="s">
        <v>393</v>
      </c>
      <c r="C516" s="49" t="s">
        <v>389</v>
      </c>
    </row>
    <row r="517" spans="1:3" ht="15">
      <c r="B517" s="62" t="s">
        <v>395</v>
      </c>
      <c r="C517" s="34" t="s">
        <v>394</v>
      </c>
    </row>
    <row r="518" spans="1:3" ht="15">
      <c r="B518" s="61" t="s">
        <v>396</v>
      </c>
      <c r="C518" s="49" t="s">
        <v>397</v>
      </c>
    </row>
    <row r="519" spans="1:3" ht="15">
      <c r="B519" s="70" t="s">
        <v>399</v>
      </c>
      <c r="C519" s="31" t="s">
        <v>398</v>
      </c>
    </row>
    <row r="520" spans="1:3" ht="16.5">
      <c r="B520" s="2"/>
      <c r="C520" s="3"/>
    </row>
    <row r="521" spans="1:3" ht="13.15">
      <c r="B521" s="58" t="s">
        <v>64</v>
      </c>
      <c r="C521" s="63" t="s">
        <v>65</v>
      </c>
    </row>
    <row r="522" spans="1:3" ht="15">
      <c r="A522" s="1" t="s">
        <v>525</v>
      </c>
      <c r="B522" s="68" t="s">
        <v>537</v>
      </c>
      <c r="C522" s="49" t="s">
        <v>536</v>
      </c>
    </row>
    <row r="523" spans="1:3" ht="15">
      <c r="B523" s="60" t="s">
        <v>535</v>
      </c>
      <c r="C523" s="34" t="s">
        <v>534</v>
      </c>
    </row>
    <row r="524" spans="1:3" ht="15">
      <c r="B524" s="68" t="s">
        <v>533</v>
      </c>
      <c r="C524" s="49" t="s">
        <v>532</v>
      </c>
    </row>
    <row r="525" spans="1:3" ht="15">
      <c r="B525" s="60" t="s">
        <v>531</v>
      </c>
      <c r="C525" s="34" t="s">
        <v>530</v>
      </c>
    </row>
    <row r="526" spans="1:3" ht="15">
      <c r="B526" s="68" t="s">
        <v>529</v>
      </c>
      <c r="C526" s="49" t="s">
        <v>528</v>
      </c>
    </row>
    <row r="527" spans="1:3" ht="15">
      <c r="B527" s="60" t="s">
        <v>527</v>
      </c>
      <c r="C527" s="34" t="s">
        <v>526</v>
      </c>
    </row>
    <row r="528" spans="1:3" ht="16.5">
      <c r="B528" s="13" t="s">
        <v>415</v>
      </c>
      <c r="C528" s="12" t="s">
        <v>416</v>
      </c>
    </row>
    <row r="529" spans="1:3" ht="16.5">
      <c r="B529" s="64" t="s">
        <v>417</v>
      </c>
      <c r="C529" s="57" t="s">
        <v>418</v>
      </c>
    </row>
    <row r="530" spans="1:3" ht="16.5">
      <c r="B530" s="2"/>
      <c r="C530" s="3"/>
    </row>
    <row r="531" spans="1:3" ht="13.15">
      <c r="B531" s="58" t="s">
        <v>64</v>
      </c>
      <c r="C531" s="63" t="s">
        <v>65</v>
      </c>
    </row>
    <row r="532" spans="1:3" ht="15">
      <c r="A532" s="1" t="s">
        <v>514</v>
      </c>
      <c r="B532" s="61" t="s">
        <v>524</v>
      </c>
      <c r="C532" s="49" t="s">
        <v>523</v>
      </c>
    </row>
    <row r="533" spans="1:3" ht="15">
      <c r="B533" s="62" t="s">
        <v>522</v>
      </c>
      <c r="C533" s="34" t="s">
        <v>521</v>
      </c>
    </row>
    <row r="534" spans="1:3" ht="15">
      <c r="B534" s="61" t="s">
        <v>520</v>
      </c>
      <c r="C534" s="49" t="s">
        <v>519</v>
      </c>
    </row>
    <row r="535" spans="1:3" ht="15">
      <c r="B535" s="62" t="s">
        <v>518</v>
      </c>
      <c r="C535" s="34" t="s">
        <v>517</v>
      </c>
    </row>
    <row r="536" spans="1:3" ht="16.5">
      <c r="B536" s="71" t="s">
        <v>516</v>
      </c>
      <c r="C536" s="57" t="s">
        <v>515</v>
      </c>
    </row>
    <row r="537" spans="1:3" ht="16.5">
      <c r="B537" s="2"/>
      <c r="C537" s="3"/>
    </row>
    <row r="538" spans="1:3" ht="13.15">
      <c r="B538" s="58" t="s">
        <v>64</v>
      </c>
      <c r="C538" s="63" t="s">
        <v>65</v>
      </c>
    </row>
    <row r="539" spans="1:3" ht="15">
      <c r="A539" s="1" t="s">
        <v>499</v>
      </c>
      <c r="B539" s="60" t="s">
        <v>513</v>
      </c>
      <c r="C539" s="34" t="s">
        <v>512</v>
      </c>
    </row>
    <row r="540" spans="1:3" ht="15">
      <c r="B540" s="61" t="s">
        <v>511</v>
      </c>
      <c r="C540" s="49" t="s">
        <v>510</v>
      </c>
    </row>
    <row r="541" spans="1:3" ht="15">
      <c r="B541" s="62" t="s">
        <v>509</v>
      </c>
      <c r="C541" s="34" t="s">
        <v>508</v>
      </c>
    </row>
    <row r="542" spans="1:3" ht="15">
      <c r="B542" s="61" t="s">
        <v>507</v>
      </c>
      <c r="C542" s="49" t="s">
        <v>506</v>
      </c>
    </row>
    <row r="543" spans="1:3" ht="15">
      <c r="B543" s="62" t="s">
        <v>505</v>
      </c>
      <c r="C543" s="34" t="s">
        <v>504</v>
      </c>
    </row>
    <row r="544" spans="1:3" ht="15">
      <c r="B544" s="61" t="s">
        <v>503</v>
      </c>
      <c r="C544" s="49" t="s">
        <v>502</v>
      </c>
    </row>
    <row r="545" spans="1:3" ht="15">
      <c r="B545" s="70" t="s">
        <v>501</v>
      </c>
      <c r="C545" s="31" t="s">
        <v>500</v>
      </c>
    </row>
    <row r="546" spans="1:3" ht="16.5">
      <c r="B546" s="2"/>
      <c r="C546" s="3"/>
    </row>
    <row r="547" spans="1:3" ht="13.15">
      <c r="B547" s="58" t="s">
        <v>64</v>
      </c>
      <c r="C547" s="63" t="s">
        <v>65</v>
      </c>
    </row>
    <row r="548" spans="1:3" ht="15">
      <c r="A548" s="1" t="s">
        <v>475</v>
      </c>
      <c r="B548" s="68" t="s">
        <v>498</v>
      </c>
      <c r="C548" s="49" t="s">
        <v>497</v>
      </c>
    </row>
    <row r="549" spans="1:3" ht="15">
      <c r="B549" s="62" t="s">
        <v>496</v>
      </c>
      <c r="C549" s="34" t="s">
        <v>495</v>
      </c>
    </row>
    <row r="550" spans="1:3" ht="15">
      <c r="B550" s="61" t="s">
        <v>494</v>
      </c>
      <c r="C550" s="49" t="s">
        <v>493</v>
      </c>
    </row>
    <row r="551" spans="1:3" ht="15">
      <c r="B551" s="62" t="s">
        <v>492</v>
      </c>
      <c r="C551" s="34" t="s">
        <v>491</v>
      </c>
    </row>
    <row r="552" spans="1:3" ht="15">
      <c r="B552" s="61" t="s">
        <v>490</v>
      </c>
      <c r="C552" s="49" t="s">
        <v>489</v>
      </c>
    </row>
    <row r="553" spans="1:3" ht="15">
      <c r="B553" s="62" t="s">
        <v>488</v>
      </c>
      <c r="C553" s="34" t="s">
        <v>487</v>
      </c>
    </row>
    <row r="554" spans="1:3" ht="15">
      <c r="B554" s="61" t="s">
        <v>204</v>
      </c>
      <c r="C554" s="49" t="s">
        <v>486</v>
      </c>
    </row>
    <row r="555" spans="1:3" ht="15">
      <c r="B555" s="62" t="s">
        <v>202</v>
      </c>
      <c r="C555" s="34" t="s">
        <v>485</v>
      </c>
    </row>
    <row r="556" spans="1:3" ht="15">
      <c r="B556" s="61" t="s">
        <v>425</v>
      </c>
      <c r="C556" s="49" t="s">
        <v>426</v>
      </c>
    </row>
    <row r="557" spans="1:3" ht="15">
      <c r="B557" s="62" t="s">
        <v>484</v>
      </c>
      <c r="C557" s="34" t="s">
        <v>483</v>
      </c>
    </row>
    <row r="558" spans="1:3" ht="15">
      <c r="B558" s="61" t="s">
        <v>423</v>
      </c>
      <c r="C558" s="49" t="s">
        <v>482</v>
      </c>
    </row>
    <row r="559" spans="1:3" ht="15">
      <c r="B559" s="62" t="s">
        <v>481</v>
      </c>
      <c r="C559" s="50" t="s">
        <v>480</v>
      </c>
    </row>
    <row r="560" spans="1:3" ht="15">
      <c r="B560" s="61" t="s">
        <v>479</v>
      </c>
      <c r="C560" s="49" t="s">
        <v>478</v>
      </c>
    </row>
    <row r="561" spans="1:3" ht="15">
      <c r="B561" s="72" t="s">
        <v>477</v>
      </c>
      <c r="C561" s="31" t="s">
        <v>476</v>
      </c>
    </row>
    <row r="562" spans="1:3" ht="16.5">
      <c r="B562" s="2"/>
      <c r="C562" s="3"/>
    </row>
    <row r="563" spans="1:3" ht="13.15">
      <c r="B563" s="58" t="s">
        <v>64</v>
      </c>
      <c r="C563" s="63" t="s">
        <v>65</v>
      </c>
    </row>
    <row r="564" spans="1:3" ht="15">
      <c r="A564" s="1" t="s">
        <v>458</v>
      </c>
      <c r="B564" s="62" t="s">
        <v>472</v>
      </c>
      <c r="C564" s="34" t="s">
        <v>471</v>
      </c>
    </row>
    <row r="565" spans="1:3" ht="15">
      <c r="B565" s="68" t="s">
        <v>470</v>
      </c>
      <c r="C565" s="49" t="s">
        <v>469</v>
      </c>
    </row>
    <row r="566" spans="1:3" ht="15">
      <c r="B566" s="62" t="s">
        <v>468</v>
      </c>
      <c r="C566" s="34" t="s">
        <v>467</v>
      </c>
    </row>
    <row r="567" spans="1:3" ht="15">
      <c r="B567" s="61" t="s">
        <v>466</v>
      </c>
      <c r="C567" s="49" t="s">
        <v>465</v>
      </c>
    </row>
    <row r="568" spans="1:3" ht="15">
      <c r="B568" s="62" t="s">
        <v>464</v>
      </c>
      <c r="C568" s="34" t="s">
        <v>463</v>
      </c>
    </row>
    <row r="569" spans="1:3" ht="15">
      <c r="B569" s="61" t="s">
        <v>462</v>
      </c>
      <c r="C569" s="49" t="s">
        <v>461</v>
      </c>
    </row>
    <row r="570" spans="1:3" ht="15">
      <c r="B570" s="70" t="s">
        <v>460</v>
      </c>
      <c r="C570" s="31" t="s">
        <v>459</v>
      </c>
    </row>
    <row r="571" spans="1:3" ht="16.5">
      <c r="B571" s="2"/>
      <c r="C571" s="3"/>
    </row>
    <row r="572" spans="1:3" ht="13.15">
      <c r="B572" s="58" t="s">
        <v>64</v>
      </c>
      <c r="C572" s="63" t="s">
        <v>65</v>
      </c>
    </row>
    <row r="573" spans="1:3" ht="15">
      <c r="A573" s="1" t="s">
        <v>443</v>
      </c>
      <c r="B573" s="68" t="s">
        <v>457</v>
      </c>
      <c r="C573" s="49" t="s">
        <v>456</v>
      </c>
    </row>
    <row r="574" spans="1:3" ht="15">
      <c r="B574" s="62" t="s">
        <v>455</v>
      </c>
      <c r="C574" s="34" t="s">
        <v>454</v>
      </c>
    </row>
    <row r="575" spans="1:3" ht="15">
      <c r="B575" s="61" t="s">
        <v>453</v>
      </c>
      <c r="C575" s="49" t="s">
        <v>452</v>
      </c>
    </row>
    <row r="576" spans="1:3" ht="15">
      <c r="B576" s="62" t="s">
        <v>451</v>
      </c>
      <c r="C576" s="34" t="s">
        <v>450</v>
      </c>
    </row>
    <row r="577" spans="2:4" ht="15">
      <c r="B577" s="61" t="s">
        <v>449</v>
      </c>
      <c r="C577" s="49" t="s">
        <v>448</v>
      </c>
    </row>
    <row r="578" spans="2:4" ht="15">
      <c r="B578" s="62" t="s">
        <v>447</v>
      </c>
      <c r="C578" s="34" t="s">
        <v>446</v>
      </c>
    </row>
    <row r="579" spans="2:4" ht="15">
      <c r="B579" s="69" t="s">
        <v>445</v>
      </c>
      <c r="C579" s="55" t="s">
        <v>444</v>
      </c>
    </row>
    <row r="580" spans="2:4" ht="16.5">
      <c r="B580" s="2"/>
      <c r="C580" s="3"/>
    </row>
    <row r="582" spans="2:4" ht="16.5">
      <c r="B582" s="2" t="s">
        <v>371</v>
      </c>
      <c r="C582" s="1" t="s">
        <v>754</v>
      </c>
      <c r="D582" s="1" t="s">
        <v>372</v>
      </c>
    </row>
    <row r="583" spans="2:4" ht="16.5">
      <c r="B583" s="2" t="s">
        <v>15</v>
      </c>
      <c r="C583" s="2" t="s">
        <v>15</v>
      </c>
      <c r="D583" s="1" t="str">
        <f t="shared" ref="D583:D614" si="0">_xlfn.CONCAT($C583,"[التمرين]")</f>
        <v>البطات[التمرين]</v>
      </c>
    </row>
    <row r="584" spans="2:4" ht="16.5">
      <c r="B584" s="2" t="s">
        <v>373</v>
      </c>
      <c r="C584" s="2" t="s">
        <v>373</v>
      </c>
      <c r="D584" s="1" t="str">
        <f t="shared" si="0"/>
        <v>ارداف[التمرين]</v>
      </c>
    </row>
    <row r="585" spans="2:4" ht="16.5">
      <c r="B585" s="2" t="s">
        <v>86</v>
      </c>
      <c r="C585" s="2" t="s">
        <v>374</v>
      </c>
      <c r="D585" s="1" t="str">
        <f t="shared" si="0"/>
        <v>رجل_خلفي_حوض_للوراء [التمرين]</v>
      </c>
    </row>
    <row r="586" spans="2:4" ht="16.899999999999999" thickBot="1">
      <c r="B586" s="2" t="s">
        <v>149</v>
      </c>
      <c r="C586" s="2" t="s">
        <v>375</v>
      </c>
      <c r="D586" s="1" t="str">
        <f t="shared" si="0"/>
        <v>اكتاف_جانبي[التمرين]</v>
      </c>
    </row>
    <row r="587" spans="2:4" ht="16.899999999999999" thickBot="1">
      <c r="B587" s="2" t="s">
        <v>12</v>
      </c>
      <c r="C587" s="48" t="str">
        <f>SUBSTITUTE(B587," ","_")</f>
        <v>ترايسيبس</v>
      </c>
      <c r="D587" s="1" t="str">
        <f t="shared" si="0"/>
        <v>ترايسيبس[التمرين]</v>
      </c>
    </row>
    <row r="588" spans="2:4" ht="16.899999999999999" thickBot="1">
      <c r="B588" s="2" t="s">
        <v>129</v>
      </c>
      <c r="C588" s="48" t="str">
        <f>SUBSTITUTE(B588," ","_")</f>
        <v>أكتاف_أمامي</v>
      </c>
      <c r="D588" s="1" t="str">
        <f t="shared" si="0"/>
        <v>أكتاف_أمامي[التمرين]</v>
      </c>
    </row>
    <row r="589" spans="2:4" ht="16.899999999999999" thickBot="1">
      <c r="B589" s="2" t="s">
        <v>167</v>
      </c>
      <c r="C589" s="2" t="s">
        <v>376</v>
      </c>
      <c r="D589" s="1" t="str">
        <f t="shared" si="0"/>
        <v>أكتاف_خلفي[التمرين]</v>
      </c>
    </row>
    <row r="590" spans="2:4" ht="16.899999999999999" thickBot="1">
      <c r="B590" s="2" t="s">
        <v>11</v>
      </c>
      <c r="C590" s="48" t="str">
        <f>SUBSTITUTE(B590," ","_")</f>
        <v>بايسيبس</v>
      </c>
      <c r="D590" s="1" t="str">
        <f t="shared" si="0"/>
        <v>بايسيبس[التمرين]</v>
      </c>
    </row>
    <row r="591" spans="2:4" ht="16.899999999999999" thickBot="1">
      <c r="B591" s="45" t="s">
        <v>13</v>
      </c>
      <c r="C591" s="48" t="str">
        <f>SUBSTITUTE(B591," ","_")</f>
        <v>بطن</v>
      </c>
      <c r="D591" s="1" t="str">
        <f t="shared" si="0"/>
        <v>بطن[التمرين]</v>
      </c>
    </row>
    <row r="592" spans="2:4" ht="13.15" thickBot="1">
      <c r="B592" s="1" t="s">
        <v>63</v>
      </c>
      <c r="C592" s="48" t="str">
        <f>SUBSTITUTE(B592," ","_")</f>
        <v>رجلين_أمامي</v>
      </c>
      <c r="D592" s="1" t="str">
        <f t="shared" si="0"/>
        <v>رجلين_أمامي[التمرين]</v>
      </c>
    </row>
    <row r="593" spans="2:5" ht="13.15" thickBot="1">
      <c r="B593" s="1" t="s">
        <v>83</v>
      </c>
      <c r="C593" s="48" t="str">
        <f>SUBSTITUTE(B593," ","_")</f>
        <v>رجلين_خلفي_عزل</v>
      </c>
      <c r="D593" s="1" t="str">
        <f t="shared" si="0"/>
        <v>رجلين_خلفي_عزل[التمرين]</v>
      </c>
    </row>
    <row r="594" spans="2:5" ht="16.899999999999999" thickBot="1">
      <c r="B594" s="2" t="s">
        <v>17</v>
      </c>
      <c r="C594" s="48" t="str">
        <f>SUBSTITUTE(B594," ","_")</f>
        <v>سواعد</v>
      </c>
      <c r="D594" s="1" t="str">
        <f t="shared" si="0"/>
        <v>سواعد[التمرين]</v>
      </c>
    </row>
    <row r="595" spans="2:5" ht="16.5">
      <c r="B595" s="2" t="s">
        <v>208</v>
      </c>
      <c r="C595" s="2" t="s">
        <v>377</v>
      </c>
      <c r="D595" s="1" t="str">
        <f t="shared" si="0"/>
        <v>صدر_عزل[التمرين]</v>
      </c>
    </row>
    <row r="596" spans="2:5" ht="16.5">
      <c r="B596" s="2" t="s">
        <v>184</v>
      </c>
      <c r="C596" s="2" t="s">
        <v>378</v>
      </c>
      <c r="D596" s="1" t="str">
        <f t="shared" si="0"/>
        <v>صدر_علوي[التمرين]</v>
      </c>
    </row>
    <row r="597" spans="2:5" ht="16.899999999999999" thickBot="1">
      <c r="B597" s="2" t="s">
        <v>194</v>
      </c>
      <c r="C597" s="2" t="s">
        <v>379</v>
      </c>
      <c r="D597" s="1" t="str">
        <f t="shared" si="0"/>
        <v>صدر_مستوي[التمرين]</v>
      </c>
    </row>
    <row r="598" spans="2:5" ht="13.15" thickBot="1">
      <c r="B598" s="1" t="s">
        <v>247</v>
      </c>
      <c r="C598" s="48" t="str">
        <f t="shared" ref="C598:C631" si="1">SUBSTITUTE(B598," ","_")</f>
        <v>سحب_افقي_ظهر</v>
      </c>
      <c r="D598" s="1" t="str">
        <f t="shared" si="0"/>
        <v>سحب_افقي_ظهر[التمرين]</v>
      </c>
    </row>
    <row r="599" spans="2:5" ht="13.15" thickBot="1">
      <c r="B599" s="1" t="s">
        <v>382</v>
      </c>
      <c r="C599" s="48" t="str">
        <f t="shared" si="1"/>
        <v>سحب_رأسي_ظهر</v>
      </c>
      <c r="D599" s="1" t="str">
        <f t="shared" si="0"/>
        <v>سحب_رأسي_ظهر[التمرين]</v>
      </c>
    </row>
    <row r="600" spans="2:5" ht="16.899999999999999" thickBot="1">
      <c r="B600" s="2" t="s">
        <v>68</v>
      </c>
      <c r="C600" s="48" t="str">
        <f t="shared" si="1"/>
        <v>رجلين_سكوات</v>
      </c>
      <c r="D600" s="1" t="str">
        <f t="shared" si="0"/>
        <v>رجلين_سكوات[التمرين]</v>
      </c>
    </row>
    <row r="601" spans="2:5" ht="16.899999999999999" thickBot="1">
      <c r="B601" s="2" t="s">
        <v>24</v>
      </c>
      <c r="C601" s="48" t="str">
        <f t="shared" si="1"/>
        <v>مثلثات</v>
      </c>
      <c r="D601" s="1" t="str">
        <f t="shared" si="0"/>
        <v>مثلثات[التمرين]</v>
      </c>
    </row>
    <row r="602" spans="2:5" ht="16.899999999999999" thickBot="1">
      <c r="B602" s="2" t="s">
        <v>743</v>
      </c>
      <c r="C602" s="48" t="str">
        <f t="shared" si="1"/>
        <v>مثلثات_دامبل</v>
      </c>
      <c r="D602" s="1" t="str">
        <f t="shared" si="0"/>
        <v>مثلثات_دامبل[التمرين]</v>
      </c>
      <c r="E602" s="38"/>
    </row>
    <row r="603" spans="2:5" ht="16.899999999999999" thickBot="1">
      <c r="B603" s="2" t="s">
        <v>737</v>
      </c>
      <c r="C603" s="48" t="str">
        <f t="shared" si="1"/>
        <v>البطات_دامبل</v>
      </c>
      <c r="D603" s="1" t="str">
        <f t="shared" si="0"/>
        <v>البطات_دامبل[التمرين]</v>
      </c>
    </row>
    <row r="604" spans="2:5" ht="16.899999999999999" thickBot="1">
      <c r="B604" s="2" t="s">
        <v>733</v>
      </c>
      <c r="C604" s="48" t="str">
        <f t="shared" si="1"/>
        <v>أرداف_دامبل</v>
      </c>
      <c r="D604" s="1" t="str">
        <f t="shared" si="0"/>
        <v>أرداف_دامبل[التمرين]</v>
      </c>
    </row>
    <row r="605" spans="2:5" ht="16.899999999999999" thickBot="1">
      <c r="B605" s="2" t="s">
        <v>753</v>
      </c>
      <c r="C605" s="48" t="str">
        <f t="shared" si="1"/>
        <v> رجل خلفي دامبل</v>
      </c>
      <c r="D605" s="1" t="str">
        <f t="shared" si="0"/>
        <v> رجل خلفي دامبل[التمرين]</v>
      </c>
    </row>
    <row r="606" spans="2:5" ht="16.899999999999999" thickBot="1">
      <c r="B606" s="2" t="s">
        <v>752</v>
      </c>
      <c r="C606" s="48" t="str">
        <f t="shared" si="1"/>
        <v>اكتاف جانبي_دامبل</v>
      </c>
      <c r="D606" s="1" t="str">
        <f t="shared" si="0"/>
        <v>اكتاف جانبي_دامبل[التمرين]</v>
      </c>
    </row>
    <row r="607" spans="2:5" ht="16.899999999999999" thickBot="1">
      <c r="B607" s="2" t="s">
        <v>712</v>
      </c>
      <c r="C607" s="48" t="str">
        <f t="shared" si="1"/>
        <v>ترايسيبس_دامبل</v>
      </c>
      <c r="D607" s="1" t="str">
        <f t="shared" si="0"/>
        <v>ترايسيبس_دامبل[التمرين]</v>
      </c>
    </row>
    <row r="608" spans="2:5" ht="16.899999999999999" thickBot="1">
      <c r="B608" s="2" t="s">
        <v>709</v>
      </c>
      <c r="C608" s="48" t="str">
        <f t="shared" si="1"/>
        <v>أكتاف_أمامي_دامبل</v>
      </c>
      <c r="D608" s="1" t="str">
        <f t="shared" si="0"/>
        <v>أكتاف_أمامي_دامبل[التمرين]</v>
      </c>
    </row>
    <row r="609" spans="1:7" ht="16.899999999999999" thickBot="1">
      <c r="B609" s="2" t="s">
        <v>751</v>
      </c>
      <c r="C609" s="48" t="str">
        <f t="shared" si="1"/>
        <v>أكتاف خلفي_دامبل</v>
      </c>
      <c r="D609" s="1" t="str">
        <f t="shared" si="0"/>
        <v>أكتاف خلفي_دامبل[التمرين]</v>
      </c>
    </row>
    <row r="610" spans="1:7" ht="16.899999999999999" thickBot="1">
      <c r="B610" s="2" t="s">
        <v>705</v>
      </c>
      <c r="C610" s="48" t="str">
        <f t="shared" si="1"/>
        <v>بايسيبس_دامبل</v>
      </c>
      <c r="D610" s="1" t="str">
        <f t="shared" si="0"/>
        <v>بايسيبس_دامبل[التمرين]</v>
      </c>
    </row>
    <row r="611" spans="1:7" ht="16.899999999999999" thickBot="1">
      <c r="B611" s="45" t="s">
        <v>538</v>
      </c>
      <c r="C611" s="48" t="str">
        <f t="shared" si="1"/>
        <v>بطن_منزلي</v>
      </c>
      <c r="D611" s="1" t="str">
        <f t="shared" si="0"/>
        <v>بطن_منزلي[التمرين]</v>
      </c>
    </row>
    <row r="612" spans="1:7" ht="13.15" thickBot="1">
      <c r="B612" s="1" t="s">
        <v>700</v>
      </c>
      <c r="C612" s="48" t="str">
        <f t="shared" si="1"/>
        <v>سكوات_دامبل</v>
      </c>
      <c r="D612" s="1" t="str">
        <f t="shared" si="0"/>
        <v>سكوات_دامبل[التمرين]</v>
      </c>
    </row>
    <row r="613" spans="1:7" ht="16.899999999999999" thickBot="1">
      <c r="B613" s="2" t="s">
        <v>697</v>
      </c>
      <c r="C613" s="48" t="str">
        <f t="shared" si="1"/>
        <v>سواعد_دامبل</v>
      </c>
      <c r="D613" s="1" t="str">
        <f t="shared" si="0"/>
        <v>سواعد_دامبل[التمرين]</v>
      </c>
    </row>
    <row r="614" spans="1:7" ht="16.899999999999999" thickBot="1">
      <c r="B614" s="2" t="s">
        <v>750</v>
      </c>
      <c r="C614" s="48" t="str">
        <f t="shared" si="1"/>
        <v>صدر عزل_دامبل</v>
      </c>
      <c r="D614" s="1" t="str">
        <f t="shared" si="0"/>
        <v>صدر عزل_دامبل[التمرين]</v>
      </c>
    </row>
    <row r="615" spans="1:7" ht="16.899999999999999" thickBot="1">
      <c r="B615" s="2" t="s">
        <v>692</v>
      </c>
      <c r="C615" s="48" t="str">
        <f t="shared" si="1"/>
        <v>صدر_مركب_دامبل</v>
      </c>
      <c r="D615" s="1" t="str">
        <f t="shared" ref="D615:D631" si="2">_xlfn.CONCAT($C615,"[التمرين]")</f>
        <v>صدر_مركب_دامبل[التمرين]</v>
      </c>
    </row>
    <row r="616" spans="1:7" ht="13.15" thickBot="1">
      <c r="B616" s="1" t="s">
        <v>689</v>
      </c>
      <c r="C616" s="48" t="str">
        <f t="shared" si="1"/>
        <v>ظهر_دامبل</v>
      </c>
      <c r="D616" s="1" t="str">
        <f t="shared" si="2"/>
        <v>ظهر_دامبل[التمرين]</v>
      </c>
    </row>
    <row r="617" spans="1:7" ht="16.899999999999999" thickBot="1">
      <c r="B617" s="2" t="s">
        <v>684</v>
      </c>
      <c r="C617" s="48" t="str">
        <f t="shared" si="1"/>
        <v>مثلثات_حبال</v>
      </c>
      <c r="D617" s="1" t="str">
        <f t="shared" si="2"/>
        <v>مثلثات_حبال[التمرين]</v>
      </c>
      <c r="E617" s="28"/>
    </row>
    <row r="618" spans="1:7" ht="16.899999999999999" thickBot="1">
      <c r="B618" s="2" t="s">
        <v>737</v>
      </c>
      <c r="C618" s="48" t="str">
        <f t="shared" si="1"/>
        <v>البطات_دامبل</v>
      </c>
      <c r="D618" s="1" t="str">
        <f t="shared" si="2"/>
        <v>البطات_دامبل[التمرين]</v>
      </c>
    </row>
    <row r="619" spans="1:7" ht="16.899999999999999" thickBot="1">
      <c r="B619" s="2" t="s">
        <v>733</v>
      </c>
      <c r="C619" s="48" t="str">
        <f t="shared" si="1"/>
        <v>أرداف_دامبل</v>
      </c>
      <c r="D619" s="1" t="str">
        <f t="shared" si="2"/>
        <v>أرداف_دامبل[التمرين]</v>
      </c>
    </row>
    <row r="620" spans="1:7" ht="16.899999999999999" thickBot="1">
      <c r="A620" s="2"/>
      <c r="B620" s="2" t="s">
        <v>749</v>
      </c>
      <c r="C620" s="48" t="str">
        <f t="shared" si="1"/>
        <v> رجل خلفي حبال</v>
      </c>
      <c r="D620" s="1" t="str">
        <f t="shared" si="2"/>
        <v> رجل خلفي حبال[التمرين]</v>
      </c>
    </row>
    <row r="621" spans="1:7" ht="16.899999999999999" thickBot="1">
      <c r="A621" s="2"/>
      <c r="B621" s="2" t="s">
        <v>748</v>
      </c>
      <c r="C621" s="48" t="str">
        <f t="shared" si="1"/>
        <v>اكتاف جانبي_حبال</v>
      </c>
      <c r="D621" s="1" t="str">
        <f t="shared" si="2"/>
        <v>اكتاف جانبي_حبال[التمرين]</v>
      </c>
    </row>
    <row r="622" spans="1:7" ht="16.899999999999999" thickBot="1">
      <c r="A622" s="2"/>
      <c r="B622" s="2" t="s">
        <v>595</v>
      </c>
      <c r="C622" s="48" t="str">
        <f t="shared" si="1"/>
        <v>ترايسيبس_حبال</v>
      </c>
      <c r="D622" s="1" t="str">
        <f t="shared" si="2"/>
        <v>ترايسيبس_حبال[التمرين]</v>
      </c>
      <c r="G622" s="40"/>
    </row>
    <row r="623" spans="1:7" ht="16.899999999999999" thickBot="1">
      <c r="A623" s="2"/>
      <c r="B623" s="2" t="s">
        <v>576</v>
      </c>
      <c r="C623" s="48" t="str">
        <f t="shared" si="1"/>
        <v>أكتاف_أمامي_حبال</v>
      </c>
      <c r="D623" s="1" t="str">
        <f t="shared" si="2"/>
        <v>أكتاف_أمامي_حبال[التمرين]</v>
      </c>
      <c r="G623" s="42"/>
    </row>
    <row r="624" spans="1:7" ht="16.899999999999999" thickBot="1">
      <c r="B624" s="2" t="s">
        <v>747</v>
      </c>
      <c r="C624" s="48" t="str">
        <f t="shared" si="1"/>
        <v>أكتاف خلفي_حبال</v>
      </c>
      <c r="D624" s="1" t="str">
        <f t="shared" si="2"/>
        <v>أكتاف خلفي_حبال[التمرين]</v>
      </c>
    </row>
    <row r="625" spans="1:4" ht="16.899999999999999" thickBot="1">
      <c r="A625" s="2"/>
      <c r="B625" s="2" t="s">
        <v>552</v>
      </c>
      <c r="C625" s="48" t="str">
        <f t="shared" si="1"/>
        <v>بايسيبس_حبال</v>
      </c>
      <c r="D625" s="1" t="str">
        <f t="shared" si="2"/>
        <v>بايسيبس_حبال[التمرين]</v>
      </c>
    </row>
    <row r="626" spans="1:4" ht="16.899999999999999" thickBot="1">
      <c r="A626" s="2"/>
      <c r="B626" s="2" t="s">
        <v>549</v>
      </c>
      <c r="C626" s="48" t="str">
        <f t="shared" si="1"/>
        <v>بطن_حبال</v>
      </c>
      <c r="D626" s="1" t="str">
        <f t="shared" si="2"/>
        <v>بطن_حبال[التمرين]</v>
      </c>
    </row>
    <row r="627" spans="1:4" ht="16.899999999999999" thickBot="1">
      <c r="A627" s="2"/>
      <c r="B627" s="2" t="s">
        <v>525</v>
      </c>
      <c r="C627" s="48" t="str">
        <f t="shared" si="1"/>
        <v>سكوات_حبال</v>
      </c>
      <c r="D627" s="1" t="str">
        <f t="shared" si="2"/>
        <v>سكوات_حبال[التمرين]</v>
      </c>
    </row>
    <row r="628" spans="1:4" ht="16.899999999999999" thickBot="1">
      <c r="B628" s="2" t="s">
        <v>514</v>
      </c>
      <c r="C628" s="48" t="str">
        <f t="shared" si="1"/>
        <v>سواعد_حبال</v>
      </c>
      <c r="D628" s="1" t="str">
        <f t="shared" si="2"/>
        <v>سواعد_حبال[التمرين]</v>
      </c>
    </row>
    <row r="629" spans="1:4" ht="16.899999999999999" thickBot="1">
      <c r="B629" s="2" t="s">
        <v>746</v>
      </c>
      <c r="C629" s="48" t="str">
        <f t="shared" si="1"/>
        <v>صدر عزل_حبال</v>
      </c>
      <c r="D629" s="1" t="str">
        <f t="shared" si="2"/>
        <v>صدر عزل_حبال[التمرين]</v>
      </c>
    </row>
    <row r="630" spans="1:4" ht="16.899999999999999" thickBot="1">
      <c r="B630" s="2" t="s">
        <v>475</v>
      </c>
      <c r="C630" s="48" t="str">
        <f t="shared" si="1"/>
        <v>صدر_مركب_حبال</v>
      </c>
      <c r="D630" s="1" t="str">
        <f t="shared" si="2"/>
        <v>صدر_مركب_حبال[التمرين]</v>
      </c>
    </row>
    <row r="631" spans="1:4" ht="16.5">
      <c r="B631" s="2" t="s">
        <v>745</v>
      </c>
      <c r="C631" s="47" t="str">
        <f t="shared" si="1"/>
        <v>ظهر_حبال</v>
      </c>
      <c r="D631" s="1" t="str">
        <f t="shared" si="2"/>
        <v>ظهر_حبال[التمرين]</v>
      </c>
    </row>
    <row r="632" spans="1:4">
      <c r="C632" s="46"/>
    </row>
    <row r="634" spans="1:4">
      <c r="B634" s="1" t="s">
        <v>64</v>
      </c>
      <c r="C634" s="1" t="s">
        <v>65</v>
      </c>
      <c r="D634" s="1" t="s">
        <v>371</v>
      </c>
    </row>
    <row r="635" spans="1:4" ht="16.5">
      <c r="B635" s="1" t="s">
        <v>61</v>
      </c>
      <c r="C635" s="20" t="s">
        <v>364</v>
      </c>
      <c r="D635" s="2" t="s">
        <v>17</v>
      </c>
    </row>
    <row r="636" spans="1:4" ht="16.5">
      <c r="B636" s="1" t="s">
        <v>365</v>
      </c>
      <c r="C636" s="29" t="s">
        <v>366</v>
      </c>
      <c r="D636" s="2" t="s">
        <v>17</v>
      </c>
    </row>
    <row r="637" spans="1:4" ht="16.5">
      <c r="B637" s="1" t="s">
        <v>62</v>
      </c>
      <c r="C637" s="20" t="s">
        <v>367</v>
      </c>
      <c r="D637" s="2" t="s">
        <v>17</v>
      </c>
    </row>
    <row r="638" spans="1:4" ht="16.5">
      <c r="B638" s="1" t="s">
        <v>45</v>
      </c>
      <c r="C638" s="29" t="s">
        <v>368</v>
      </c>
      <c r="D638" s="2" t="s">
        <v>17</v>
      </c>
    </row>
    <row r="639" spans="1:4" ht="16.5">
      <c r="B639" s="1" t="s">
        <v>369</v>
      </c>
      <c r="C639" s="20" t="s">
        <v>370</v>
      </c>
      <c r="D639" s="2" t="s">
        <v>17</v>
      </c>
    </row>
    <row r="640" spans="1:4" ht="16.5">
      <c r="B640" s="1" t="s">
        <v>351</v>
      </c>
      <c r="C640" s="20" t="s">
        <v>352</v>
      </c>
      <c r="D640" s="45" t="s">
        <v>13</v>
      </c>
    </row>
    <row r="641" spans="1:7" ht="16.5">
      <c r="B641" s="1" t="s">
        <v>353</v>
      </c>
      <c r="C641" s="35" t="s">
        <v>354</v>
      </c>
      <c r="D641" s="45" t="s">
        <v>13</v>
      </c>
    </row>
    <row r="642" spans="1:7" ht="16.5">
      <c r="A642" s="2"/>
      <c r="B642" s="1" t="s">
        <v>800</v>
      </c>
      <c r="C642" s="20" t="s">
        <v>355</v>
      </c>
      <c r="D642" s="45" t="s">
        <v>13</v>
      </c>
    </row>
    <row r="643" spans="1:7" ht="16.5">
      <c r="A643" s="2"/>
      <c r="B643" s="1" t="s">
        <v>356</v>
      </c>
      <c r="C643" s="29" t="s">
        <v>357</v>
      </c>
      <c r="D643" s="45" t="s">
        <v>13</v>
      </c>
    </row>
    <row r="644" spans="1:7" ht="16.5">
      <c r="A644" s="2"/>
      <c r="B644" s="1" t="s">
        <v>801</v>
      </c>
      <c r="C644" s="35" t="s">
        <v>802</v>
      </c>
      <c r="D644" s="45" t="s">
        <v>13</v>
      </c>
    </row>
    <row r="645" spans="1:7" ht="16.5">
      <c r="B645" s="1" t="s">
        <v>49</v>
      </c>
      <c r="C645" s="20" t="s">
        <v>358</v>
      </c>
      <c r="D645" s="45" t="s">
        <v>13</v>
      </c>
    </row>
    <row r="646" spans="1:7" ht="16.5">
      <c r="B646" s="1" t="s">
        <v>41</v>
      </c>
      <c r="C646" s="35" t="s">
        <v>359</v>
      </c>
      <c r="D646" s="45" t="s">
        <v>13</v>
      </c>
    </row>
    <row r="647" spans="1:7" ht="16.5">
      <c r="B647" s="1" t="s">
        <v>360</v>
      </c>
      <c r="C647" s="20" t="s">
        <v>361</v>
      </c>
      <c r="D647" s="45" t="s">
        <v>13</v>
      </c>
    </row>
    <row r="648" spans="1:7" ht="16.5">
      <c r="B648" s="1" t="s">
        <v>362</v>
      </c>
      <c r="C648" s="29" t="s">
        <v>363</v>
      </c>
      <c r="D648" s="45" t="s">
        <v>13</v>
      </c>
    </row>
    <row r="649" spans="1:7" ht="16.5">
      <c r="B649" s="5" t="s">
        <v>388</v>
      </c>
      <c r="C649" s="3" t="s">
        <v>387</v>
      </c>
      <c r="D649" s="45" t="s">
        <v>13</v>
      </c>
    </row>
    <row r="650" spans="1:7" ht="16.5">
      <c r="B650" s="4" t="s">
        <v>390</v>
      </c>
      <c r="C650" s="3" t="s">
        <v>389</v>
      </c>
      <c r="D650" s="45" t="s">
        <v>13</v>
      </c>
    </row>
    <row r="651" spans="1:7" ht="16.5">
      <c r="A651" s="2"/>
      <c r="B651" s="5" t="s">
        <v>392</v>
      </c>
      <c r="C651" s="3" t="s">
        <v>391</v>
      </c>
      <c r="D651" s="45" t="s">
        <v>13</v>
      </c>
    </row>
    <row r="652" spans="1:7" ht="16.5">
      <c r="B652" s="5" t="s">
        <v>393</v>
      </c>
      <c r="C652" s="3" t="s">
        <v>389</v>
      </c>
      <c r="D652" s="45" t="s">
        <v>13</v>
      </c>
    </row>
    <row r="653" spans="1:7" ht="16.5">
      <c r="B653" s="4" t="s">
        <v>395</v>
      </c>
      <c r="C653" s="3" t="s">
        <v>394</v>
      </c>
      <c r="D653" s="45" t="s">
        <v>13</v>
      </c>
    </row>
    <row r="654" spans="1:7" ht="16.5">
      <c r="B654" s="5" t="s">
        <v>396</v>
      </c>
      <c r="C654" s="3" t="s">
        <v>397</v>
      </c>
      <c r="D654" s="45" t="s">
        <v>13</v>
      </c>
      <c r="G654" s="11"/>
    </row>
    <row r="655" spans="1:7" ht="16.5">
      <c r="B655" s="5" t="s">
        <v>399</v>
      </c>
      <c r="C655" s="3" t="s">
        <v>398</v>
      </c>
      <c r="D655" s="45" t="s">
        <v>13</v>
      </c>
    </row>
    <row r="656" spans="1:7">
      <c r="B656" s="1" t="s">
        <v>37</v>
      </c>
      <c r="C656" s="1" t="s">
        <v>66</v>
      </c>
      <c r="D656" s="1" t="s">
        <v>63</v>
      </c>
    </row>
    <row r="657" spans="1:4">
      <c r="B657" s="1" t="s">
        <v>69</v>
      </c>
      <c r="C657" s="1" t="s">
        <v>70</v>
      </c>
      <c r="D657" s="1" t="s">
        <v>63</v>
      </c>
    </row>
    <row r="658" spans="1:4">
      <c r="B658" s="1" t="s">
        <v>71</v>
      </c>
      <c r="C658" s="1" t="s">
        <v>72</v>
      </c>
      <c r="D658" s="1" t="s">
        <v>63</v>
      </c>
    </row>
    <row r="659" spans="1:4">
      <c r="B659" s="1" t="s">
        <v>73</v>
      </c>
      <c r="C659" s="1" t="s">
        <v>74</v>
      </c>
      <c r="D659" s="1" t="s">
        <v>63</v>
      </c>
    </row>
    <row r="660" spans="1:4" ht="16.5">
      <c r="A660" s="2"/>
      <c r="B660" s="1" t="s">
        <v>75</v>
      </c>
      <c r="C660" s="1" t="s">
        <v>76</v>
      </c>
      <c r="D660" s="1" t="s">
        <v>63</v>
      </c>
    </row>
    <row r="661" spans="1:4">
      <c r="B661" s="1" t="s">
        <v>19</v>
      </c>
      <c r="C661" s="1" t="s">
        <v>67</v>
      </c>
      <c r="D661" s="1" t="s">
        <v>63</v>
      </c>
    </row>
    <row r="662" spans="1:4" ht="16.5">
      <c r="B662" s="2" t="s">
        <v>38</v>
      </c>
      <c r="C662" s="17" t="s">
        <v>84</v>
      </c>
      <c r="D662" s="1" t="s">
        <v>83</v>
      </c>
    </row>
    <row r="663" spans="1:4" ht="16.5">
      <c r="B663" s="2" t="s">
        <v>20</v>
      </c>
      <c r="C663" s="17" t="s">
        <v>85</v>
      </c>
      <c r="D663" s="1" t="s">
        <v>83</v>
      </c>
    </row>
    <row r="664" spans="1:4" ht="16.5">
      <c r="B664" s="2" t="s">
        <v>407</v>
      </c>
      <c r="C664" s="9" t="s">
        <v>408</v>
      </c>
      <c r="D664" s="1" t="s">
        <v>83</v>
      </c>
    </row>
    <row r="665" spans="1:4" ht="16.5">
      <c r="B665" s="2" t="s">
        <v>87</v>
      </c>
      <c r="C665" s="17" t="s">
        <v>88</v>
      </c>
      <c r="D665" s="2" t="s">
        <v>86</v>
      </c>
    </row>
    <row r="666" spans="1:4" ht="16.5">
      <c r="B666" s="2" t="s">
        <v>89</v>
      </c>
      <c r="C666" s="17" t="s">
        <v>90</v>
      </c>
      <c r="D666" s="2" t="s">
        <v>86</v>
      </c>
    </row>
    <row r="667" spans="1:4" ht="16.5">
      <c r="B667" s="2" t="s">
        <v>91</v>
      </c>
      <c r="C667" s="17" t="s">
        <v>92</v>
      </c>
      <c r="D667" s="2" t="s">
        <v>86</v>
      </c>
    </row>
    <row r="668" spans="1:4" ht="16.5">
      <c r="B668" s="2" t="s">
        <v>93</v>
      </c>
      <c r="C668" s="17" t="s">
        <v>94</v>
      </c>
      <c r="D668" s="2" t="s">
        <v>86</v>
      </c>
    </row>
    <row r="669" spans="1:4" ht="16.5">
      <c r="B669" s="2" t="s">
        <v>95</v>
      </c>
      <c r="C669" s="17" t="s">
        <v>96</v>
      </c>
      <c r="D669" s="2" t="s">
        <v>86</v>
      </c>
    </row>
    <row r="670" spans="1:4" ht="16.5">
      <c r="B670" s="2" t="s">
        <v>97</v>
      </c>
      <c r="C670" s="17" t="s">
        <v>98</v>
      </c>
      <c r="D670" s="2" t="s">
        <v>380</v>
      </c>
    </row>
    <row r="671" spans="1:4" ht="16.5">
      <c r="B671" s="2" t="s">
        <v>99</v>
      </c>
      <c r="C671" s="17" t="s">
        <v>100</v>
      </c>
      <c r="D671" s="2" t="s">
        <v>380</v>
      </c>
    </row>
    <row r="672" spans="1:4" ht="16.5">
      <c r="B672" s="2" t="s">
        <v>77</v>
      </c>
      <c r="C672" s="17" t="s">
        <v>78</v>
      </c>
      <c r="D672" s="2" t="s">
        <v>380</v>
      </c>
    </row>
    <row r="673" spans="1:4" ht="16.5">
      <c r="B673" s="2" t="s">
        <v>101</v>
      </c>
      <c r="C673" s="17" t="s">
        <v>102</v>
      </c>
      <c r="D673" s="2" t="s">
        <v>380</v>
      </c>
    </row>
    <row r="674" spans="1:4" ht="16.5">
      <c r="B674" s="2" t="s">
        <v>103</v>
      </c>
      <c r="C674" s="17" t="s">
        <v>104</v>
      </c>
      <c r="D674" s="2" t="s">
        <v>380</v>
      </c>
    </row>
    <row r="675" spans="1:4" ht="16.5">
      <c r="B675" s="2" t="s">
        <v>105</v>
      </c>
      <c r="C675" s="3" t="s">
        <v>106</v>
      </c>
      <c r="D675" s="2" t="s">
        <v>380</v>
      </c>
    </row>
    <row r="676" spans="1:4" ht="16.5">
      <c r="B676" s="2" t="s">
        <v>107</v>
      </c>
      <c r="C676" s="3" t="s">
        <v>108</v>
      </c>
      <c r="D676" s="2" t="s">
        <v>380</v>
      </c>
    </row>
    <row r="677" spans="1:4" ht="16.5">
      <c r="B677" s="2" t="s">
        <v>109</v>
      </c>
      <c r="C677" s="3" t="s">
        <v>110</v>
      </c>
      <c r="D677" s="2" t="s">
        <v>380</v>
      </c>
    </row>
    <row r="678" spans="1:4" ht="16.5">
      <c r="B678" s="2" t="s">
        <v>111</v>
      </c>
      <c r="C678" s="17" t="s">
        <v>112</v>
      </c>
      <c r="D678" s="2" t="s">
        <v>380</v>
      </c>
    </row>
    <row r="679" spans="1:4" ht="16.5">
      <c r="B679" s="2" t="s">
        <v>113</v>
      </c>
      <c r="C679" s="3" t="s">
        <v>114</v>
      </c>
      <c r="D679" s="2" t="s">
        <v>380</v>
      </c>
    </row>
    <row r="680" spans="1:4" ht="16.5">
      <c r="A680" s="2"/>
      <c r="B680" s="2" t="s">
        <v>115</v>
      </c>
      <c r="C680" s="3" t="s">
        <v>116</v>
      </c>
      <c r="D680" s="2" t="s">
        <v>380</v>
      </c>
    </row>
    <row r="681" spans="1:4" ht="16.5">
      <c r="B681" s="2" t="s">
        <v>79</v>
      </c>
      <c r="C681" s="17" t="s">
        <v>80</v>
      </c>
      <c r="D681" s="2" t="s">
        <v>380</v>
      </c>
    </row>
    <row r="682" spans="1:4" ht="16.5">
      <c r="B682" s="2" t="s">
        <v>117</v>
      </c>
      <c r="C682" s="3" t="s">
        <v>118</v>
      </c>
      <c r="D682" s="2" t="s">
        <v>380</v>
      </c>
    </row>
    <row r="683" spans="1:4" ht="16.5">
      <c r="B683" s="2" t="s">
        <v>81</v>
      </c>
      <c r="C683" s="3" t="s">
        <v>82</v>
      </c>
      <c r="D683" s="2" t="s">
        <v>380</v>
      </c>
    </row>
    <row r="684" spans="1:4" ht="16.5">
      <c r="A684" s="2"/>
      <c r="B684" s="2" t="s">
        <v>427</v>
      </c>
      <c r="C684" s="9" t="s">
        <v>428</v>
      </c>
      <c r="D684" s="2" t="s">
        <v>380</v>
      </c>
    </row>
    <row r="685" spans="1:4" ht="16.5">
      <c r="B685" s="18" t="s">
        <v>431</v>
      </c>
      <c r="C685" s="40" t="s">
        <v>432</v>
      </c>
      <c r="D685" s="2" t="s">
        <v>380</v>
      </c>
    </row>
    <row r="686" spans="1:4" ht="16.5">
      <c r="B686" s="44" t="s">
        <v>433</v>
      </c>
      <c r="C686" s="23" t="s">
        <v>434</v>
      </c>
      <c r="D686" s="2" t="s">
        <v>380</v>
      </c>
    </row>
    <row r="687" spans="1:4" ht="16.5">
      <c r="B687" s="2" t="s">
        <v>119</v>
      </c>
      <c r="C687" s="17" t="s">
        <v>120</v>
      </c>
      <c r="D687" s="2" t="s">
        <v>15</v>
      </c>
    </row>
    <row r="688" spans="1:4" ht="16.5">
      <c r="A688" s="2"/>
      <c r="B688" s="2" t="s">
        <v>121</v>
      </c>
      <c r="C688" s="17" t="s">
        <v>122</v>
      </c>
      <c r="D688" s="2" t="s">
        <v>15</v>
      </c>
    </row>
    <row r="689" spans="1:4" ht="16.5">
      <c r="B689" s="2" t="s">
        <v>123</v>
      </c>
      <c r="C689" s="17" t="s">
        <v>124</v>
      </c>
      <c r="D689" s="2" t="s">
        <v>15</v>
      </c>
    </row>
    <row r="690" spans="1:4" ht="16.5">
      <c r="B690" s="2" t="s">
        <v>125</v>
      </c>
      <c r="C690" s="17" t="s">
        <v>126</v>
      </c>
      <c r="D690" s="2" t="s">
        <v>15</v>
      </c>
    </row>
    <row r="691" spans="1:4" ht="16.5">
      <c r="B691" s="2" t="s">
        <v>127</v>
      </c>
      <c r="C691" s="37" t="s">
        <v>128</v>
      </c>
      <c r="D691" s="2" t="s">
        <v>15</v>
      </c>
    </row>
    <row r="692" spans="1:4" ht="16.5">
      <c r="B692" s="11" t="s">
        <v>403</v>
      </c>
      <c r="C692" s="43" t="s">
        <v>402</v>
      </c>
      <c r="D692" s="2" t="s">
        <v>15</v>
      </c>
    </row>
    <row r="693" spans="1:4" ht="16.5">
      <c r="B693" s="18" t="s">
        <v>437</v>
      </c>
      <c r="C693" s="42" t="s">
        <v>404</v>
      </c>
      <c r="D693" s="2" t="s">
        <v>15</v>
      </c>
    </row>
    <row r="694" spans="1:4" ht="16.5">
      <c r="B694" s="18" t="s">
        <v>435</v>
      </c>
      <c r="C694" s="41" t="s">
        <v>744</v>
      </c>
      <c r="D694" s="2" t="s">
        <v>15</v>
      </c>
    </row>
    <row r="695" spans="1:4" ht="16.5">
      <c r="A695" s="2"/>
      <c r="B695" s="2" t="s">
        <v>130</v>
      </c>
      <c r="C695" s="17" t="s">
        <v>131</v>
      </c>
      <c r="D695" s="2" t="s">
        <v>129</v>
      </c>
    </row>
    <row r="696" spans="1:4" ht="16.5">
      <c r="B696" s="2" t="s">
        <v>47</v>
      </c>
      <c r="C696" s="17" t="s">
        <v>132</v>
      </c>
      <c r="D696" s="2" t="s">
        <v>129</v>
      </c>
    </row>
    <row r="697" spans="1:4" ht="16.5">
      <c r="B697" s="2" t="s">
        <v>133</v>
      </c>
      <c r="C697" s="17" t="s">
        <v>134</v>
      </c>
      <c r="D697" s="2" t="s">
        <v>129</v>
      </c>
    </row>
    <row r="698" spans="1:4" ht="16.5">
      <c r="B698" s="2" t="s">
        <v>135</v>
      </c>
      <c r="C698" s="3" t="s">
        <v>136</v>
      </c>
      <c r="D698" s="2" t="s">
        <v>129</v>
      </c>
    </row>
    <row r="699" spans="1:4" ht="16.5">
      <c r="B699" s="2" t="s">
        <v>137</v>
      </c>
      <c r="C699" s="17" t="s">
        <v>138</v>
      </c>
      <c r="D699" s="2" t="s">
        <v>129</v>
      </c>
    </row>
    <row r="700" spans="1:4" ht="16.5">
      <c r="B700" s="2" t="s">
        <v>139</v>
      </c>
      <c r="C700" s="17" t="s">
        <v>140</v>
      </c>
      <c r="D700" s="2" t="s">
        <v>129</v>
      </c>
    </row>
    <row r="701" spans="1:4" ht="16.5">
      <c r="B701" s="2" t="s">
        <v>141</v>
      </c>
      <c r="C701" s="3" t="s">
        <v>142</v>
      </c>
      <c r="D701" s="2" t="s">
        <v>129</v>
      </c>
    </row>
    <row r="702" spans="1:4" ht="16.5">
      <c r="A702" s="2"/>
      <c r="B702" s="2" t="s">
        <v>143</v>
      </c>
      <c r="C702" s="17" t="s">
        <v>144</v>
      </c>
      <c r="D702" s="2" t="s">
        <v>129</v>
      </c>
    </row>
    <row r="703" spans="1:4" ht="16.5">
      <c r="B703" s="2" t="s">
        <v>145</v>
      </c>
      <c r="C703" s="17" t="s">
        <v>146</v>
      </c>
      <c r="D703" s="2" t="s">
        <v>129</v>
      </c>
    </row>
    <row r="704" spans="1:4" ht="16.5">
      <c r="B704" s="2" t="s">
        <v>147</v>
      </c>
      <c r="C704" s="3" t="s">
        <v>148</v>
      </c>
      <c r="D704" s="2" t="s">
        <v>129</v>
      </c>
    </row>
    <row r="705" spans="2:4" ht="16.5">
      <c r="B705" s="2" t="s">
        <v>56</v>
      </c>
      <c r="C705" s="17" t="s">
        <v>150</v>
      </c>
      <c r="D705" s="2" t="s">
        <v>149</v>
      </c>
    </row>
    <row r="706" spans="2:4" ht="16.5">
      <c r="B706" s="2" t="s">
        <v>151</v>
      </c>
      <c r="C706" s="17" t="s">
        <v>152</v>
      </c>
      <c r="D706" s="2" t="s">
        <v>149</v>
      </c>
    </row>
    <row r="707" spans="2:4" ht="16.5">
      <c r="B707" s="2" t="s">
        <v>153</v>
      </c>
      <c r="C707" s="3" t="s">
        <v>154</v>
      </c>
      <c r="D707" s="2" t="s">
        <v>149</v>
      </c>
    </row>
    <row r="708" spans="2:4" ht="16.5">
      <c r="B708" s="2" t="s">
        <v>155</v>
      </c>
      <c r="C708" s="17" t="s">
        <v>156</v>
      </c>
      <c r="D708" s="2" t="s">
        <v>149</v>
      </c>
    </row>
    <row r="709" spans="2:4" ht="16.5">
      <c r="B709" s="2" t="s">
        <v>157</v>
      </c>
      <c r="C709" s="17" t="s">
        <v>158</v>
      </c>
      <c r="D709" s="2" t="s">
        <v>149</v>
      </c>
    </row>
    <row r="710" spans="2:4" ht="16.5">
      <c r="B710" s="2" t="s">
        <v>159</v>
      </c>
      <c r="C710" s="17" t="s">
        <v>160</v>
      </c>
      <c r="D710" s="2" t="s">
        <v>149</v>
      </c>
    </row>
    <row r="711" spans="2:4" ht="16.5">
      <c r="B711" s="2" t="s">
        <v>161</v>
      </c>
      <c r="C711" s="17" t="s">
        <v>162</v>
      </c>
      <c r="D711" s="2" t="s">
        <v>149</v>
      </c>
    </row>
    <row r="712" spans="2:4" ht="16.5">
      <c r="B712" s="2" t="s">
        <v>163</v>
      </c>
      <c r="C712" s="17" t="s">
        <v>164</v>
      </c>
      <c r="D712" s="2" t="s">
        <v>149</v>
      </c>
    </row>
    <row r="713" spans="2:4" ht="16.5">
      <c r="B713" s="2" t="s">
        <v>165</v>
      </c>
      <c r="C713" s="17" t="s">
        <v>166</v>
      </c>
      <c r="D713" s="2" t="s">
        <v>149</v>
      </c>
    </row>
    <row r="714" spans="2:4" ht="16.5">
      <c r="B714" s="11" t="s">
        <v>421</v>
      </c>
      <c r="C714" s="35" t="s">
        <v>422</v>
      </c>
      <c r="D714" s="2" t="s">
        <v>149</v>
      </c>
    </row>
    <row r="715" spans="2:4" ht="16.5">
      <c r="B715" s="2" t="s">
        <v>168</v>
      </c>
      <c r="C715" s="17" t="s">
        <v>169</v>
      </c>
      <c r="D715" s="2" t="s">
        <v>167</v>
      </c>
    </row>
    <row r="716" spans="2:4" ht="16.5">
      <c r="B716" s="2" t="s">
        <v>170</v>
      </c>
      <c r="C716" s="17" t="s">
        <v>171</v>
      </c>
      <c r="D716" s="2" t="s">
        <v>167</v>
      </c>
    </row>
    <row r="717" spans="2:4" ht="16.5">
      <c r="B717" s="2" t="s">
        <v>44</v>
      </c>
      <c r="C717" s="17" t="s">
        <v>172</v>
      </c>
      <c r="D717" s="2" t="s">
        <v>167</v>
      </c>
    </row>
    <row r="718" spans="2:4" ht="16.5">
      <c r="B718" s="2" t="s">
        <v>173</v>
      </c>
      <c r="C718" s="17" t="s">
        <v>174</v>
      </c>
      <c r="D718" s="2" t="s">
        <v>167</v>
      </c>
    </row>
    <row r="719" spans="2:4" ht="16.5">
      <c r="B719" s="2" t="s">
        <v>175</v>
      </c>
      <c r="C719" s="17" t="s">
        <v>176</v>
      </c>
      <c r="D719" s="2" t="s">
        <v>167</v>
      </c>
    </row>
    <row r="720" spans="2:4" ht="16.5">
      <c r="B720" s="2" t="s">
        <v>177</v>
      </c>
      <c r="C720" s="17" t="s">
        <v>178</v>
      </c>
      <c r="D720" s="2" t="s">
        <v>167</v>
      </c>
    </row>
    <row r="721" spans="2:4" ht="16.5">
      <c r="B721" s="2" t="s">
        <v>179</v>
      </c>
      <c r="C721" s="17" t="s">
        <v>180</v>
      </c>
      <c r="D721" s="2" t="s">
        <v>167</v>
      </c>
    </row>
    <row r="722" spans="2:4" ht="16.5">
      <c r="B722" s="2" t="s">
        <v>181</v>
      </c>
      <c r="C722" s="17" t="s">
        <v>182</v>
      </c>
      <c r="D722" s="2" t="s">
        <v>167</v>
      </c>
    </row>
    <row r="723" spans="2:4" ht="16.5">
      <c r="B723" s="2" t="s">
        <v>26</v>
      </c>
      <c r="C723" s="17" t="s">
        <v>183</v>
      </c>
      <c r="D723" s="2" t="s">
        <v>167</v>
      </c>
    </row>
    <row r="724" spans="2:4" ht="16.5">
      <c r="B724" s="2" t="s">
        <v>54</v>
      </c>
      <c r="C724" s="17" t="s">
        <v>185</v>
      </c>
      <c r="D724" s="2" t="s">
        <v>184</v>
      </c>
    </row>
    <row r="725" spans="2:4" ht="16.5">
      <c r="B725" s="2" t="s">
        <v>186</v>
      </c>
      <c r="C725" s="17" t="s">
        <v>187</v>
      </c>
      <c r="D725" s="2" t="s">
        <v>184</v>
      </c>
    </row>
    <row r="726" spans="2:4" ht="16.5">
      <c r="B726" s="2" t="s">
        <v>188</v>
      </c>
      <c r="C726" s="17" t="s">
        <v>189</v>
      </c>
      <c r="D726" s="2" t="s">
        <v>184</v>
      </c>
    </row>
    <row r="727" spans="2:4" ht="16.5">
      <c r="B727" s="2" t="s">
        <v>190</v>
      </c>
      <c r="C727" s="17" t="s">
        <v>191</v>
      </c>
      <c r="D727" s="2" t="s">
        <v>184</v>
      </c>
    </row>
    <row r="728" spans="2:4" ht="16.5">
      <c r="B728" s="2" t="s">
        <v>423</v>
      </c>
      <c r="C728" s="9" t="s">
        <v>424</v>
      </c>
      <c r="D728" s="2" t="s">
        <v>184</v>
      </c>
    </row>
    <row r="729" spans="2:4" ht="16.5">
      <c r="B729" s="2" t="s">
        <v>192</v>
      </c>
      <c r="C729" s="17" t="s">
        <v>193</v>
      </c>
      <c r="D729" s="2" t="s">
        <v>184</v>
      </c>
    </row>
    <row r="730" spans="2:4" ht="16.5">
      <c r="B730" s="2" t="s">
        <v>195</v>
      </c>
      <c r="C730" s="17" t="s">
        <v>196</v>
      </c>
      <c r="D730" s="2" t="s">
        <v>194</v>
      </c>
    </row>
    <row r="731" spans="2:4" ht="16.5">
      <c r="B731" s="2" t="s">
        <v>197</v>
      </c>
      <c r="C731" s="17" t="s">
        <v>198</v>
      </c>
      <c r="D731" s="2" t="s">
        <v>194</v>
      </c>
    </row>
    <row r="732" spans="2:4" ht="16.5">
      <c r="B732" s="2" t="s">
        <v>199</v>
      </c>
      <c r="C732" s="17" t="s">
        <v>200</v>
      </c>
      <c r="D732" s="2" t="s">
        <v>194</v>
      </c>
    </row>
    <row r="733" spans="2:4" ht="16.5">
      <c r="B733" s="2" t="s">
        <v>57</v>
      </c>
      <c r="C733" s="17" t="s">
        <v>201</v>
      </c>
      <c r="D733" s="2" t="s">
        <v>194</v>
      </c>
    </row>
    <row r="734" spans="2:4" ht="16.5">
      <c r="B734" s="2" t="s">
        <v>202</v>
      </c>
      <c r="C734" s="3" t="s">
        <v>203</v>
      </c>
      <c r="D734" s="2" t="s">
        <v>194</v>
      </c>
    </row>
    <row r="735" spans="2:4" ht="16.5">
      <c r="B735" s="2" t="s">
        <v>204</v>
      </c>
      <c r="C735" s="3" t="s">
        <v>205</v>
      </c>
      <c r="D735" s="2" t="s">
        <v>194</v>
      </c>
    </row>
    <row r="736" spans="2:4" ht="16.5">
      <c r="B736" s="2" t="s">
        <v>206</v>
      </c>
      <c r="C736" s="17" t="s">
        <v>207</v>
      </c>
      <c r="D736" s="2" t="s">
        <v>194</v>
      </c>
    </row>
    <row r="737" spans="2:4" ht="16.5">
      <c r="B737" s="11" t="s">
        <v>425</v>
      </c>
      <c r="C737" s="40" t="s">
        <v>426</v>
      </c>
      <c r="D737" s="2" t="s">
        <v>194</v>
      </c>
    </row>
    <row r="738" spans="2:4" ht="16.5">
      <c r="B738" s="2" t="s">
        <v>209</v>
      </c>
      <c r="C738" s="17" t="s">
        <v>210</v>
      </c>
      <c r="D738" s="2" t="s">
        <v>208</v>
      </c>
    </row>
    <row r="739" spans="2:4" ht="16.5">
      <c r="B739" s="2" t="s">
        <v>211</v>
      </c>
      <c r="C739" s="3" t="s">
        <v>212</v>
      </c>
      <c r="D739" s="2" t="s">
        <v>208</v>
      </c>
    </row>
    <row r="740" spans="2:4" ht="16.5">
      <c r="B740" s="2" t="s">
        <v>39</v>
      </c>
      <c r="C740" s="17" t="s">
        <v>213</v>
      </c>
      <c r="D740" s="2" t="s">
        <v>208</v>
      </c>
    </row>
    <row r="741" spans="2:4" ht="16.5">
      <c r="B741" s="2" t="s">
        <v>214</v>
      </c>
      <c r="C741" s="17" t="s">
        <v>215</v>
      </c>
      <c r="D741" s="2" t="s">
        <v>208</v>
      </c>
    </row>
    <row r="742" spans="2:4" ht="16.5">
      <c r="B742" s="2" t="s">
        <v>50</v>
      </c>
      <c r="C742" s="3" t="s">
        <v>216</v>
      </c>
      <c r="D742" s="2" t="s">
        <v>208</v>
      </c>
    </row>
    <row r="743" spans="2:4" ht="16.5">
      <c r="B743" s="2" t="s">
        <v>18</v>
      </c>
      <c r="C743" s="3" t="s">
        <v>217</v>
      </c>
      <c r="D743" s="2" t="s">
        <v>208</v>
      </c>
    </row>
    <row r="744" spans="2:4" ht="16.5">
      <c r="B744" s="2" t="s">
        <v>218</v>
      </c>
      <c r="C744" s="3" t="s">
        <v>219</v>
      </c>
      <c r="D744" s="2" t="s">
        <v>208</v>
      </c>
    </row>
    <row r="745" spans="2:4" ht="16.5">
      <c r="B745" s="2" t="s">
        <v>220</v>
      </c>
      <c r="C745" s="3" t="s">
        <v>221</v>
      </c>
      <c r="D745" s="2" t="s">
        <v>208</v>
      </c>
    </row>
    <row r="746" spans="2:4" ht="16.5">
      <c r="B746" s="2" t="s">
        <v>222</v>
      </c>
      <c r="C746" s="17" t="s">
        <v>223</v>
      </c>
      <c r="D746" s="1" t="s">
        <v>382</v>
      </c>
    </row>
    <row r="747" spans="2:4" ht="16.5">
      <c r="B747" s="2" t="s">
        <v>224</v>
      </c>
      <c r="C747" s="17" t="s">
        <v>225</v>
      </c>
      <c r="D747" s="1" t="s">
        <v>382</v>
      </c>
    </row>
    <row r="748" spans="2:4" ht="16.5">
      <c r="B748" s="2" t="s">
        <v>226</v>
      </c>
      <c r="C748" s="17" t="s">
        <v>227</v>
      </c>
      <c r="D748" s="1" t="s">
        <v>382</v>
      </c>
    </row>
    <row r="749" spans="2:4" ht="16.5">
      <c r="B749" s="2" t="s">
        <v>228</v>
      </c>
      <c r="C749" s="17" t="s">
        <v>229</v>
      </c>
      <c r="D749" s="1" t="s">
        <v>382</v>
      </c>
    </row>
    <row r="750" spans="2:4" ht="16.5">
      <c r="B750" s="2" t="s">
        <v>230</v>
      </c>
      <c r="C750" s="37" t="s">
        <v>231</v>
      </c>
      <c r="D750" s="1" t="s">
        <v>382</v>
      </c>
    </row>
    <row r="751" spans="2:4" ht="16.5">
      <c r="B751" s="2" t="s">
        <v>232</v>
      </c>
      <c r="C751" s="37" t="s">
        <v>233</v>
      </c>
      <c r="D751" s="1" t="s">
        <v>382</v>
      </c>
    </row>
    <row r="752" spans="2:4" ht="16.5">
      <c r="B752" s="2" t="s">
        <v>42</v>
      </c>
      <c r="C752" s="3" t="s">
        <v>234</v>
      </c>
      <c r="D752" s="1" t="s">
        <v>382</v>
      </c>
    </row>
    <row r="753" spans="2:4" ht="16.5">
      <c r="B753" s="2" t="s">
        <v>25</v>
      </c>
      <c r="C753" s="3" t="s">
        <v>235</v>
      </c>
      <c r="D753" s="1" t="s">
        <v>382</v>
      </c>
    </row>
    <row r="754" spans="2:4" ht="16.5">
      <c r="B754" s="2" t="s">
        <v>236</v>
      </c>
      <c r="C754" s="17" t="s">
        <v>237</v>
      </c>
      <c r="D754" s="1" t="s">
        <v>382</v>
      </c>
    </row>
    <row r="755" spans="2:4" ht="16.5">
      <c r="B755" s="2" t="s">
        <v>238</v>
      </c>
      <c r="C755" s="3" t="s">
        <v>239</v>
      </c>
      <c r="D755" s="1" t="s">
        <v>382</v>
      </c>
    </row>
    <row r="756" spans="2:4" ht="16.5">
      <c r="B756" s="2" t="s">
        <v>240</v>
      </c>
      <c r="C756" s="3" t="s">
        <v>241</v>
      </c>
      <c r="D756" s="1" t="s">
        <v>382</v>
      </c>
    </row>
    <row r="757" spans="2:4" ht="16.5">
      <c r="B757" s="2" t="s">
        <v>242</v>
      </c>
      <c r="C757" s="3" t="s">
        <v>243</v>
      </c>
      <c r="D757" s="1" t="s">
        <v>382</v>
      </c>
    </row>
    <row r="758" spans="2:4" ht="16.5">
      <c r="B758" s="2" t="s">
        <v>59</v>
      </c>
      <c r="C758" s="3" t="s">
        <v>244</v>
      </c>
      <c r="D758" s="1" t="s">
        <v>382</v>
      </c>
    </row>
    <row r="759" spans="2:4" ht="16.5">
      <c r="B759" s="2" t="s">
        <v>245</v>
      </c>
      <c r="C759" s="17" t="s">
        <v>246</v>
      </c>
      <c r="D759" s="1" t="s">
        <v>382</v>
      </c>
    </row>
    <row r="760" spans="2:4" ht="16.5">
      <c r="B760" s="2" t="s">
        <v>46</v>
      </c>
      <c r="C760" s="39" t="s">
        <v>248</v>
      </c>
      <c r="D760" s="1" t="s">
        <v>247</v>
      </c>
    </row>
    <row r="761" spans="2:4" ht="16.5">
      <c r="B761" s="2" t="s">
        <v>249</v>
      </c>
      <c r="C761" s="3" t="s">
        <v>250</v>
      </c>
      <c r="D761" s="1" t="s">
        <v>247</v>
      </c>
    </row>
    <row r="762" spans="2:4" ht="16.5">
      <c r="B762" s="2" t="s">
        <v>43</v>
      </c>
      <c r="C762" s="17" t="s">
        <v>251</v>
      </c>
      <c r="D762" s="1" t="s">
        <v>247</v>
      </c>
    </row>
    <row r="763" spans="2:4" ht="16.5">
      <c r="B763" s="2" t="s">
        <v>252</v>
      </c>
      <c r="C763" s="3" t="s">
        <v>253</v>
      </c>
      <c r="D763" s="1" t="s">
        <v>247</v>
      </c>
    </row>
    <row r="764" spans="2:4" ht="16.5">
      <c r="B764" s="2" t="s">
        <v>35</v>
      </c>
      <c r="C764" s="3" t="s">
        <v>254</v>
      </c>
      <c r="D764" s="1" t="s">
        <v>247</v>
      </c>
    </row>
    <row r="765" spans="2:4" ht="16.5">
      <c r="B765" s="2" t="s">
        <v>255</v>
      </c>
      <c r="C765" s="3" t="s">
        <v>256</v>
      </c>
      <c r="D765" s="1" t="s">
        <v>247</v>
      </c>
    </row>
    <row r="766" spans="2:4" ht="16.5">
      <c r="B766" s="2" t="s">
        <v>257</v>
      </c>
      <c r="C766" s="3" t="s">
        <v>258</v>
      </c>
      <c r="D766" s="1" t="s">
        <v>247</v>
      </c>
    </row>
    <row r="767" spans="2:4" ht="16.5">
      <c r="B767" s="2" t="s">
        <v>259</v>
      </c>
      <c r="C767" s="3" t="s">
        <v>260</v>
      </c>
      <c r="D767" s="1" t="s">
        <v>247</v>
      </c>
    </row>
    <row r="768" spans="2:4" ht="16.5">
      <c r="B768" s="2" t="s">
        <v>52</v>
      </c>
      <c r="C768" s="16" t="s">
        <v>261</v>
      </c>
      <c r="D768" s="1" t="s">
        <v>247</v>
      </c>
    </row>
    <row r="769" spans="2:7" ht="16.5">
      <c r="B769" s="2" t="s">
        <v>60</v>
      </c>
      <c r="C769" s="16" t="s">
        <v>262</v>
      </c>
      <c r="D769" s="1" t="s">
        <v>247</v>
      </c>
    </row>
    <row r="770" spans="2:7" ht="16.5">
      <c r="B770" s="2" t="s">
        <v>263</v>
      </c>
      <c r="C770" s="3" t="s">
        <v>264</v>
      </c>
      <c r="D770" s="1" t="s">
        <v>247</v>
      </c>
    </row>
    <row r="771" spans="2:7" ht="16.5">
      <c r="B771" s="2" t="s">
        <v>265</v>
      </c>
      <c r="C771" s="3" t="s">
        <v>266</v>
      </c>
      <c r="D771" s="1" t="s">
        <v>247</v>
      </c>
      <c r="G771" s="38"/>
    </row>
    <row r="772" spans="2:7" ht="16.5">
      <c r="B772" s="2" t="s">
        <v>267</v>
      </c>
      <c r="C772" s="16" t="s">
        <v>268</v>
      </c>
      <c r="D772" s="1" t="s">
        <v>247</v>
      </c>
    </row>
    <row r="773" spans="2:7" ht="16.5">
      <c r="B773" s="2" t="s">
        <v>269</v>
      </c>
      <c r="C773" s="16" t="s">
        <v>270</v>
      </c>
      <c r="D773" s="1" t="s">
        <v>247</v>
      </c>
    </row>
    <row r="774" spans="2:7" ht="16.5">
      <c r="B774" s="2" t="s">
        <v>271</v>
      </c>
      <c r="C774" s="17" t="s">
        <v>272</v>
      </c>
      <c r="D774" s="2" t="s">
        <v>11</v>
      </c>
    </row>
    <row r="775" spans="2:7" ht="16.5">
      <c r="B775" s="2" t="s">
        <v>273</v>
      </c>
      <c r="C775" s="3" t="s">
        <v>274</v>
      </c>
      <c r="D775" s="2" t="s">
        <v>11</v>
      </c>
    </row>
    <row r="776" spans="2:7" ht="16.5">
      <c r="B776" s="2" t="s">
        <v>275</v>
      </c>
      <c r="C776" s="3" t="s">
        <v>276</v>
      </c>
      <c r="D776" s="2" t="s">
        <v>11</v>
      </c>
    </row>
    <row r="777" spans="2:7" ht="16.5">
      <c r="B777" s="2" t="s">
        <v>277</v>
      </c>
      <c r="C777" s="37" t="s">
        <v>278</v>
      </c>
      <c r="D777" s="2" t="s">
        <v>11</v>
      </c>
    </row>
    <row r="778" spans="2:7" ht="16.5">
      <c r="B778" s="2" t="s">
        <v>279</v>
      </c>
      <c r="C778" s="3" t="s">
        <v>280</v>
      </c>
      <c r="D778" s="2" t="s">
        <v>11</v>
      </c>
    </row>
    <row r="779" spans="2:7" ht="16.5">
      <c r="B779" s="2" t="s">
        <v>281</v>
      </c>
      <c r="C779" s="3" t="s">
        <v>282</v>
      </c>
      <c r="D779" s="2" t="s">
        <v>11</v>
      </c>
    </row>
    <row r="780" spans="2:7" ht="16.5">
      <c r="B780" s="2" t="s">
        <v>53</v>
      </c>
      <c r="C780" s="3" t="s">
        <v>283</v>
      </c>
      <c r="D780" s="2" t="s">
        <v>11</v>
      </c>
    </row>
    <row r="781" spans="2:7" ht="16.5">
      <c r="B781" s="2" t="s">
        <v>284</v>
      </c>
      <c r="C781" s="3" t="s">
        <v>285</v>
      </c>
      <c r="D781" s="2" t="s">
        <v>11</v>
      </c>
    </row>
    <row r="782" spans="2:7" ht="16.5">
      <c r="B782" s="2" t="s">
        <v>55</v>
      </c>
      <c r="C782" s="3" t="s">
        <v>286</v>
      </c>
      <c r="D782" s="2" t="s">
        <v>11</v>
      </c>
    </row>
    <row r="783" spans="2:7" ht="16.5">
      <c r="B783" s="2" t="s">
        <v>27</v>
      </c>
      <c r="C783" s="3" t="s">
        <v>287</v>
      </c>
      <c r="D783" s="2" t="s">
        <v>11</v>
      </c>
    </row>
    <row r="784" spans="2:7" ht="16.5">
      <c r="B784" s="2" t="s">
        <v>288</v>
      </c>
      <c r="C784" s="17" t="s">
        <v>289</v>
      </c>
      <c r="D784" s="2" t="s">
        <v>11</v>
      </c>
    </row>
    <row r="785" spans="2:4" ht="16.5">
      <c r="B785" s="2" t="s">
        <v>290</v>
      </c>
      <c r="C785" s="3" t="s">
        <v>291</v>
      </c>
      <c r="D785" s="2" t="s">
        <v>11</v>
      </c>
    </row>
    <row r="786" spans="2:4" ht="16.5">
      <c r="B786" s="2" t="s">
        <v>292</v>
      </c>
      <c r="C786" s="3" t="s">
        <v>293</v>
      </c>
      <c r="D786" s="2" t="s">
        <v>11</v>
      </c>
    </row>
    <row r="787" spans="2:4" ht="16.5">
      <c r="B787" s="2" t="s">
        <v>294</v>
      </c>
      <c r="C787" s="3" t="s">
        <v>295</v>
      </c>
      <c r="D787" s="2" t="s">
        <v>11</v>
      </c>
    </row>
    <row r="788" spans="2:4" ht="16.5">
      <c r="B788" s="2" t="s">
        <v>296</v>
      </c>
      <c r="C788" s="3" t="s">
        <v>297</v>
      </c>
      <c r="D788" s="2" t="s">
        <v>11</v>
      </c>
    </row>
    <row r="789" spans="2:4" ht="16.5">
      <c r="B789" s="2" t="s">
        <v>298</v>
      </c>
      <c r="C789" s="3" t="s">
        <v>299</v>
      </c>
      <c r="D789" s="2" t="s">
        <v>11</v>
      </c>
    </row>
    <row r="790" spans="2:4" ht="16.5">
      <c r="B790" s="2" t="s">
        <v>300</v>
      </c>
      <c r="C790" s="3" t="s">
        <v>301</v>
      </c>
      <c r="D790" s="2" t="s">
        <v>11</v>
      </c>
    </row>
    <row r="791" spans="2:4" ht="16.5">
      <c r="B791" s="11" t="s">
        <v>405</v>
      </c>
      <c r="C791" s="29" t="s">
        <v>406</v>
      </c>
      <c r="D791" s="2" t="s">
        <v>11</v>
      </c>
    </row>
    <row r="792" spans="2:4" ht="16.5">
      <c r="B792" s="2" t="s">
        <v>302</v>
      </c>
      <c r="C792" s="3" t="s">
        <v>303</v>
      </c>
      <c r="D792" s="2" t="s">
        <v>12</v>
      </c>
    </row>
    <row r="793" spans="2:4" ht="16.5">
      <c r="B793" s="2" t="s">
        <v>304</v>
      </c>
      <c r="C793" s="3" t="s">
        <v>305</v>
      </c>
      <c r="D793" s="2" t="s">
        <v>12</v>
      </c>
    </row>
    <row r="794" spans="2:4" ht="16.5">
      <c r="B794" s="2" t="s">
        <v>306</v>
      </c>
      <c r="C794" s="3" t="s">
        <v>307</v>
      </c>
      <c r="D794" s="2" t="s">
        <v>12</v>
      </c>
    </row>
    <row r="795" spans="2:4" ht="16.5">
      <c r="B795" s="2" t="s">
        <v>308</v>
      </c>
      <c r="C795" s="3" t="s">
        <v>309</v>
      </c>
      <c r="D795" s="2" t="s">
        <v>12</v>
      </c>
    </row>
    <row r="796" spans="2:4" ht="16.5">
      <c r="B796" s="2" t="s">
        <v>1</v>
      </c>
      <c r="C796" s="3" t="s">
        <v>310</v>
      </c>
      <c r="D796" s="2" t="s">
        <v>12</v>
      </c>
    </row>
    <row r="797" spans="2:4" ht="16.5">
      <c r="B797" s="2" t="s">
        <v>311</v>
      </c>
      <c r="C797" s="3" t="s">
        <v>312</v>
      </c>
      <c r="D797" s="2" t="s">
        <v>12</v>
      </c>
    </row>
    <row r="798" spans="2:4" ht="16.5">
      <c r="B798" s="2" t="s">
        <v>48</v>
      </c>
      <c r="C798" s="3" t="s">
        <v>313</v>
      </c>
      <c r="D798" s="2" t="s">
        <v>12</v>
      </c>
    </row>
    <row r="799" spans="2:4" ht="16.5">
      <c r="B799" s="2" t="s">
        <v>36</v>
      </c>
      <c r="C799" s="3" t="s">
        <v>314</v>
      </c>
      <c r="D799" s="2" t="s">
        <v>12</v>
      </c>
    </row>
    <row r="800" spans="2:4" ht="16.5">
      <c r="B800" s="2" t="s">
        <v>51</v>
      </c>
      <c r="C800" s="3" t="s">
        <v>315</v>
      </c>
      <c r="D800" s="2" t="s">
        <v>12</v>
      </c>
    </row>
    <row r="801" spans="2:4" ht="16.5">
      <c r="B801" s="2" t="s">
        <v>316</v>
      </c>
      <c r="C801" s="3" t="s">
        <v>317</v>
      </c>
      <c r="D801" s="2" t="s">
        <v>12</v>
      </c>
    </row>
    <row r="802" spans="2:4" ht="16.5">
      <c r="B802" s="2" t="s">
        <v>318</v>
      </c>
      <c r="C802" s="3" t="s">
        <v>319</v>
      </c>
      <c r="D802" s="2" t="s">
        <v>12</v>
      </c>
    </row>
    <row r="803" spans="2:4" ht="16.5">
      <c r="B803" s="2" t="s">
        <v>320</v>
      </c>
      <c r="C803" s="3" t="s">
        <v>321</v>
      </c>
      <c r="D803" s="2" t="s">
        <v>12</v>
      </c>
    </row>
    <row r="804" spans="2:4" ht="16.5">
      <c r="B804" s="2" t="s">
        <v>322</v>
      </c>
      <c r="C804" s="3" t="s">
        <v>323</v>
      </c>
      <c r="D804" s="2" t="s">
        <v>12</v>
      </c>
    </row>
    <row r="805" spans="2:4" ht="16.5">
      <c r="B805" s="2" t="s">
        <v>40</v>
      </c>
      <c r="C805" s="37" t="s">
        <v>324</v>
      </c>
      <c r="D805" s="2" t="s">
        <v>12</v>
      </c>
    </row>
    <row r="806" spans="2:4" ht="16.5">
      <c r="B806" s="2" t="s">
        <v>58</v>
      </c>
      <c r="C806" s="16" t="s">
        <v>325</v>
      </c>
      <c r="D806" s="2" t="s">
        <v>12</v>
      </c>
    </row>
    <row r="807" spans="2:4" ht="16.5">
      <c r="B807" s="2" t="s">
        <v>326</v>
      </c>
      <c r="C807" s="3" t="s">
        <v>327</v>
      </c>
      <c r="D807" s="2" t="s">
        <v>12</v>
      </c>
    </row>
    <row r="808" spans="2:4" ht="16.5">
      <c r="B808" s="2" t="s">
        <v>400</v>
      </c>
      <c r="C808" s="9" t="s">
        <v>401</v>
      </c>
      <c r="D808" s="2" t="s">
        <v>12</v>
      </c>
    </row>
    <row r="809" spans="2:4" ht="16.5">
      <c r="B809" s="2" t="s">
        <v>328</v>
      </c>
      <c r="C809" s="16" t="s">
        <v>329</v>
      </c>
      <c r="D809" s="2" t="s">
        <v>12</v>
      </c>
    </row>
    <row r="810" spans="2:4" ht="16.5">
      <c r="B810" s="18" t="s">
        <v>438</v>
      </c>
      <c r="C810" s="36" t="s">
        <v>439</v>
      </c>
      <c r="D810" s="2" t="s">
        <v>12</v>
      </c>
    </row>
    <row r="811" spans="2:4" ht="16.5">
      <c r="B811" s="11" t="s">
        <v>440</v>
      </c>
      <c r="C811" s="35" t="s">
        <v>441</v>
      </c>
      <c r="D811" s="2" t="s">
        <v>12</v>
      </c>
    </row>
    <row r="812" spans="2:4" ht="16.5">
      <c r="B812" s="15" t="s">
        <v>383</v>
      </c>
      <c r="C812" s="32" t="s">
        <v>70</v>
      </c>
      <c r="D812" s="11" t="s">
        <v>68</v>
      </c>
    </row>
    <row r="813" spans="2:4" ht="16.5">
      <c r="B813" s="13" t="s">
        <v>384</v>
      </c>
      <c r="C813" s="33" t="s">
        <v>72</v>
      </c>
      <c r="D813" s="11" t="s">
        <v>68</v>
      </c>
    </row>
    <row r="814" spans="2:4" ht="16.5">
      <c r="B814" s="15" t="s">
        <v>385</v>
      </c>
      <c r="C814" s="34" t="s">
        <v>74</v>
      </c>
      <c r="D814" s="11" t="s">
        <v>68</v>
      </c>
    </row>
    <row r="815" spans="2:4" ht="16.5">
      <c r="B815" s="13" t="s">
        <v>75</v>
      </c>
      <c r="C815" s="33" t="s">
        <v>76</v>
      </c>
      <c r="D815" s="11" t="s">
        <v>68</v>
      </c>
    </row>
    <row r="816" spans="2:4" ht="16.5">
      <c r="B816" s="13" t="s">
        <v>386</v>
      </c>
      <c r="C816" s="33" t="s">
        <v>78</v>
      </c>
      <c r="D816" s="11" t="s">
        <v>68</v>
      </c>
    </row>
    <row r="817" spans="2:4" ht="16.5">
      <c r="B817" s="15" t="s">
        <v>79</v>
      </c>
      <c r="C817" s="32" t="s">
        <v>80</v>
      </c>
      <c r="D817" s="11" t="s">
        <v>68</v>
      </c>
    </row>
    <row r="818" spans="2:4" ht="16.5">
      <c r="B818" s="22" t="s">
        <v>81</v>
      </c>
      <c r="C818" s="31" t="s">
        <v>82</v>
      </c>
      <c r="D818" s="11" t="s">
        <v>68</v>
      </c>
    </row>
    <row r="819" spans="2:4" ht="16.5">
      <c r="B819" s="22" t="s">
        <v>409</v>
      </c>
      <c r="C819" s="30" t="s">
        <v>410</v>
      </c>
      <c r="D819" s="11" t="s">
        <v>68</v>
      </c>
    </row>
    <row r="820" spans="2:4" ht="16.5">
      <c r="B820" s="22" t="s">
        <v>411</v>
      </c>
      <c r="C820" s="30" t="s">
        <v>412</v>
      </c>
      <c r="D820" s="11" t="s">
        <v>68</v>
      </c>
    </row>
    <row r="821" spans="2:4" ht="16.5">
      <c r="B821" s="22" t="s">
        <v>413</v>
      </c>
      <c r="C821" s="30" t="s">
        <v>414</v>
      </c>
      <c r="D821" s="11" t="s">
        <v>68</v>
      </c>
    </row>
    <row r="822" spans="2:4" ht="16.5">
      <c r="B822" s="15" t="s">
        <v>415</v>
      </c>
      <c r="C822" s="14" t="s">
        <v>416</v>
      </c>
      <c r="D822" s="11" t="s">
        <v>68</v>
      </c>
    </row>
    <row r="823" spans="2:4" ht="16.5">
      <c r="B823" s="13" t="s">
        <v>417</v>
      </c>
      <c r="C823" s="12" t="s">
        <v>418</v>
      </c>
      <c r="D823" s="11" t="s">
        <v>68</v>
      </c>
    </row>
    <row r="824" spans="2:4" ht="16.5">
      <c r="B824" s="22" t="s">
        <v>419</v>
      </c>
      <c r="C824" s="21" t="s">
        <v>420</v>
      </c>
      <c r="D824" s="11" t="s">
        <v>68</v>
      </c>
    </row>
    <row r="825" spans="2:4" ht="16.5">
      <c r="B825" s="2" t="s">
        <v>330</v>
      </c>
      <c r="C825" s="3" t="s">
        <v>331</v>
      </c>
      <c r="D825" s="2" t="s">
        <v>24</v>
      </c>
    </row>
    <row r="826" spans="2:4" ht="16.5">
      <c r="B826" s="2" t="s">
        <v>332</v>
      </c>
      <c r="C826" s="3" t="s">
        <v>333</v>
      </c>
      <c r="D826" s="2" t="s">
        <v>24</v>
      </c>
    </row>
    <row r="827" spans="2:4" ht="16.5">
      <c r="B827" s="2" t="s">
        <v>334</v>
      </c>
      <c r="C827" s="3" t="s">
        <v>335</v>
      </c>
      <c r="D827" s="2" t="s">
        <v>24</v>
      </c>
    </row>
    <row r="828" spans="2:4" ht="16.5">
      <c r="B828" s="2" t="s">
        <v>336</v>
      </c>
      <c r="C828" s="3" t="s">
        <v>337</v>
      </c>
      <c r="D828" s="2" t="s">
        <v>24</v>
      </c>
    </row>
    <row r="829" spans="2:4" ht="16.5">
      <c r="B829" s="2" t="s">
        <v>338</v>
      </c>
      <c r="C829" s="3" t="s">
        <v>339</v>
      </c>
      <c r="D829" s="2" t="s">
        <v>24</v>
      </c>
    </row>
    <row r="830" spans="2:4" ht="16.5">
      <c r="B830" s="2" t="s">
        <v>340</v>
      </c>
      <c r="C830" s="3" t="s">
        <v>341</v>
      </c>
      <c r="D830" s="2" t="s">
        <v>24</v>
      </c>
    </row>
    <row r="831" spans="2:4" ht="16.5">
      <c r="B831" s="2" t="s">
        <v>342</v>
      </c>
      <c r="C831" s="3" t="s">
        <v>337</v>
      </c>
      <c r="D831" s="2" t="s">
        <v>24</v>
      </c>
    </row>
    <row r="832" spans="2:4" ht="16.5">
      <c r="B832" s="2" t="s">
        <v>338</v>
      </c>
      <c r="C832" s="9" t="s">
        <v>339</v>
      </c>
      <c r="D832" s="2" t="s">
        <v>24</v>
      </c>
    </row>
    <row r="833" spans="2:4" ht="16.5">
      <c r="B833" s="2" t="s">
        <v>343</v>
      </c>
      <c r="C833" s="9" t="s">
        <v>344</v>
      </c>
      <c r="D833" s="2" t="s">
        <v>24</v>
      </c>
    </row>
    <row r="834" spans="2:4" ht="16.5">
      <c r="B834" s="2" t="s">
        <v>345</v>
      </c>
      <c r="C834" s="9" t="s">
        <v>346</v>
      </c>
      <c r="D834" s="2" t="s">
        <v>24</v>
      </c>
    </row>
    <row r="835" spans="2:4" ht="16.5">
      <c r="B835" s="2" t="s">
        <v>347</v>
      </c>
      <c r="C835" s="9" t="s">
        <v>348</v>
      </c>
      <c r="D835" s="2" t="s">
        <v>24</v>
      </c>
    </row>
    <row r="836" spans="2:4" ht="16.5">
      <c r="B836" s="2" t="s">
        <v>349</v>
      </c>
      <c r="C836" s="9" t="s">
        <v>350</v>
      </c>
      <c r="D836" s="2" t="s">
        <v>24</v>
      </c>
    </row>
    <row r="837" spans="2:4" ht="16.5">
      <c r="B837" s="2" t="s">
        <v>340</v>
      </c>
      <c r="C837" s="3" t="s">
        <v>341</v>
      </c>
      <c r="D837" s="2" t="s">
        <v>743</v>
      </c>
    </row>
    <row r="838" spans="2:4" ht="16.5">
      <c r="B838" s="2" t="s">
        <v>342</v>
      </c>
      <c r="C838" s="3" t="s">
        <v>337</v>
      </c>
      <c r="D838" s="2" t="s">
        <v>743</v>
      </c>
    </row>
    <row r="839" spans="2:4" ht="16.5">
      <c r="B839" s="2" t="s">
        <v>334</v>
      </c>
      <c r="C839" s="3" t="s">
        <v>335</v>
      </c>
      <c r="D839" s="2" t="s">
        <v>743</v>
      </c>
    </row>
    <row r="840" spans="2:4" ht="16.5">
      <c r="B840" s="2" t="s">
        <v>336</v>
      </c>
      <c r="C840" s="3" t="s">
        <v>337</v>
      </c>
      <c r="D840" s="2" t="s">
        <v>743</v>
      </c>
    </row>
    <row r="841" spans="2:4" ht="16.5">
      <c r="B841" s="5" t="s">
        <v>742</v>
      </c>
      <c r="C841" s="7" t="s">
        <v>436</v>
      </c>
      <c r="D841" s="2" t="s">
        <v>737</v>
      </c>
    </row>
    <row r="842" spans="2:4" ht="16.5">
      <c r="B842" s="4" t="s">
        <v>682</v>
      </c>
      <c r="C842" s="3" t="s">
        <v>681</v>
      </c>
      <c r="D842" s="2" t="s">
        <v>737</v>
      </c>
    </row>
    <row r="843" spans="2:4" ht="16.5">
      <c r="B843" s="4" t="s">
        <v>680</v>
      </c>
      <c r="C843" s="3" t="s">
        <v>679</v>
      </c>
      <c r="D843" s="2" t="s">
        <v>737</v>
      </c>
    </row>
    <row r="844" spans="2:4" ht="16.5">
      <c r="B844" s="2" t="s">
        <v>741</v>
      </c>
      <c r="C844" s="9" t="s">
        <v>740</v>
      </c>
      <c r="D844" s="2" t="s">
        <v>737</v>
      </c>
    </row>
    <row r="845" spans="2:4" ht="16.5">
      <c r="B845" s="2" t="s">
        <v>739</v>
      </c>
      <c r="C845" s="9" t="s">
        <v>738</v>
      </c>
      <c r="D845" s="2" t="s">
        <v>737</v>
      </c>
    </row>
    <row r="846" spans="2:4" ht="16.5">
      <c r="B846" s="2" t="s">
        <v>736</v>
      </c>
      <c r="C846" s="17" t="s">
        <v>735</v>
      </c>
      <c r="D846" s="2" t="s">
        <v>733</v>
      </c>
    </row>
    <row r="847" spans="2:4" ht="16.5">
      <c r="B847" s="2" t="s">
        <v>99</v>
      </c>
      <c r="C847" s="19" t="s">
        <v>100</v>
      </c>
      <c r="D847" s="2" t="s">
        <v>733</v>
      </c>
    </row>
    <row r="848" spans="2:4" ht="16.5">
      <c r="B848" s="2" t="s">
        <v>115</v>
      </c>
      <c r="C848" s="3" t="s">
        <v>116</v>
      </c>
      <c r="D848" s="2" t="s">
        <v>733</v>
      </c>
    </row>
    <row r="849" spans="2:7" ht="16.5">
      <c r="B849" s="2" t="s">
        <v>109</v>
      </c>
      <c r="C849" s="3" t="s">
        <v>110</v>
      </c>
      <c r="D849" s="2" t="s">
        <v>733</v>
      </c>
    </row>
    <row r="850" spans="2:7" ht="16.5">
      <c r="B850" s="2" t="s">
        <v>117</v>
      </c>
      <c r="C850" s="3" t="s">
        <v>118</v>
      </c>
      <c r="D850" s="2" t="s">
        <v>733</v>
      </c>
    </row>
    <row r="851" spans="2:7" ht="16.5">
      <c r="B851" s="2" t="s">
        <v>734</v>
      </c>
      <c r="C851" s="3" t="s">
        <v>82</v>
      </c>
      <c r="D851" s="2" t="s">
        <v>733</v>
      </c>
    </row>
    <row r="852" spans="2:7" ht="16.5">
      <c r="B852" s="18" t="s">
        <v>427</v>
      </c>
      <c r="C852" s="20" t="s">
        <v>428</v>
      </c>
      <c r="D852" s="2" t="s">
        <v>733</v>
      </c>
    </row>
    <row r="853" spans="2:7" ht="16.5">
      <c r="B853" s="18" t="s">
        <v>429</v>
      </c>
      <c r="C853" s="20" t="s">
        <v>430</v>
      </c>
      <c r="D853" s="2" t="s">
        <v>733</v>
      </c>
    </row>
    <row r="854" spans="2:7" ht="16.5">
      <c r="B854" s="18" t="s">
        <v>431</v>
      </c>
      <c r="C854" s="29" t="s">
        <v>432</v>
      </c>
      <c r="D854" s="2" t="s">
        <v>733</v>
      </c>
    </row>
    <row r="855" spans="2:7" ht="16.5">
      <c r="B855" s="18" t="s">
        <v>433</v>
      </c>
      <c r="C855" s="20" t="s">
        <v>434</v>
      </c>
      <c r="D855" s="2" t="s">
        <v>733</v>
      </c>
    </row>
    <row r="856" spans="2:7" ht="16.5">
      <c r="B856" s="2" t="s">
        <v>93</v>
      </c>
      <c r="C856" s="17" t="s">
        <v>648</v>
      </c>
      <c r="D856" s="2" t="s">
        <v>732</v>
      </c>
    </row>
    <row r="857" spans="2:7" ht="16.5">
      <c r="B857" s="2" t="s">
        <v>647</v>
      </c>
      <c r="C857" s="17" t="s">
        <v>2</v>
      </c>
      <c r="D857" s="2" t="s">
        <v>732</v>
      </c>
    </row>
    <row r="858" spans="2:7" ht="16.5">
      <c r="B858" s="2" t="s">
        <v>56</v>
      </c>
      <c r="C858" s="9" t="s">
        <v>150</v>
      </c>
      <c r="D858" s="2" t="s">
        <v>728</v>
      </c>
    </row>
    <row r="859" spans="2:7" ht="16.5">
      <c r="B859" s="2" t="s">
        <v>161</v>
      </c>
      <c r="C859" s="9" t="s">
        <v>162</v>
      </c>
      <c r="D859" s="2" t="s">
        <v>728</v>
      </c>
    </row>
    <row r="860" spans="2:7" ht="16.5">
      <c r="B860" s="2" t="s">
        <v>157</v>
      </c>
      <c r="C860" s="9" t="s">
        <v>158</v>
      </c>
      <c r="D860" s="2" t="s">
        <v>728</v>
      </c>
    </row>
    <row r="861" spans="2:7" ht="16.5">
      <c r="B861" s="25" t="s">
        <v>731</v>
      </c>
      <c r="C861" s="24" t="s">
        <v>422</v>
      </c>
      <c r="D861" s="2" t="s">
        <v>728</v>
      </c>
    </row>
    <row r="862" spans="2:7" ht="16.5">
      <c r="B862" s="2" t="s">
        <v>730</v>
      </c>
      <c r="C862" s="9" t="s">
        <v>729</v>
      </c>
      <c r="D862" s="2" t="s">
        <v>728</v>
      </c>
    </row>
    <row r="863" spans="2:7" ht="16.5">
      <c r="B863" s="2" t="s">
        <v>727</v>
      </c>
      <c r="C863" s="9" t="s">
        <v>726</v>
      </c>
      <c r="D863" s="2" t="s">
        <v>712</v>
      </c>
    </row>
    <row r="864" spans="2:7" ht="16.5">
      <c r="B864" s="2" t="s">
        <v>725</v>
      </c>
      <c r="C864" s="9" t="s">
        <v>724</v>
      </c>
      <c r="D864" s="2" t="s">
        <v>712</v>
      </c>
      <c r="G864" s="28"/>
    </row>
    <row r="865" spans="2:4" ht="16.5">
      <c r="B865" s="2" t="s">
        <v>723</v>
      </c>
      <c r="C865" s="9" t="s">
        <v>722</v>
      </c>
      <c r="D865" s="2" t="s">
        <v>712</v>
      </c>
    </row>
    <row r="866" spans="2:4" ht="16.5">
      <c r="B866" s="2" t="s">
        <v>721</v>
      </c>
      <c r="C866" s="9" t="s">
        <v>720</v>
      </c>
      <c r="D866" s="2" t="s">
        <v>712</v>
      </c>
    </row>
    <row r="867" spans="2:4" ht="16.5">
      <c r="B867" s="2" t="s">
        <v>719</v>
      </c>
      <c r="C867" s="9" t="s">
        <v>717</v>
      </c>
      <c r="D867" s="2" t="s">
        <v>712</v>
      </c>
    </row>
    <row r="868" spans="2:4" ht="16.5">
      <c r="B868" s="2" t="s">
        <v>718</v>
      </c>
      <c r="C868" s="9" t="s">
        <v>717</v>
      </c>
      <c r="D868" s="2" t="s">
        <v>712</v>
      </c>
    </row>
    <row r="869" spans="2:4" ht="16.5">
      <c r="B869" s="2" t="s">
        <v>716</v>
      </c>
      <c r="C869" s="9" t="s">
        <v>715</v>
      </c>
      <c r="D869" s="2" t="s">
        <v>712</v>
      </c>
    </row>
    <row r="870" spans="2:4" ht="16.5">
      <c r="B870" s="2" t="s">
        <v>714</v>
      </c>
      <c r="C870" s="9" t="s">
        <v>713</v>
      </c>
      <c r="D870" s="2" t="s">
        <v>712</v>
      </c>
    </row>
    <row r="871" spans="2:4" ht="16.5">
      <c r="B871" s="2" t="s">
        <v>51</v>
      </c>
      <c r="C871" s="9" t="s">
        <v>315</v>
      </c>
      <c r="D871" s="2" t="s">
        <v>712</v>
      </c>
    </row>
    <row r="872" spans="2:4" ht="16.5">
      <c r="B872" s="27" t="s">
        <v>438</v>
      </c>
      <c r="C872" s="26" t="s">
        <v>439</v>
      </c>
      <c r="D872" s="2" t="s">
        <v>712</v>
      </c>
    </row>
    <row r="873" spans="2:4" ht="16.5">
      <c r="B873" s="2" t="s">
        <v>145</v>
      </c>
      <c r="C873" s="9" t="s">
        <v>146</v>
      </c>
      <c r="D873" s="2" t="s">
        <v>709</v>
      </c>
    </row>
    <row r="874" spans="2:4" ht="16.5">
      <c r="B874" s="2" t="s">
        <v>711</v>
      </c>
      <c r="C874" s="9" t="s">
        <v>710</v>
      </c>
      <c r="D874" s="2" t="s">
        <v>709</v>
      </c>
    </row>
    <row r="875" spans="2:4" ht="16.5">
      <c r="B875" s="2" t="s">
        <v>133</v>
      </c>
      <c r="C875" s="9" t="s">
        <v>134</v>
      </c>
      <c r="D875" s="2" t="s">
        <v>709</v>
      </c>
    </row>
    <row r="876" spans="2:4" ht="16.5">
      <c r="B876" s="2" t="s">
        <v>135</v>
      </c>
      <c r="C876" s="9" t="s">
        <v>136</v>
      </c>
      <c r="D876" s="2" t="s">
        <v>709</v>
      </c>
    </row>
    <row r="877" spans="2:4" ht="16.5">
      <c r="B877" s="2" t="s">
        <v>177</v>
      </c>
      <c r="C877" s="9" t="s">
        <v>178</v>
      </c>
      <c r="D877" s="2" t="s">
        <v>708</v>
      </c>
    </row>
    <row r="878" spans="2:4" ht="16.5">
      <c r="B878" s="2" t="s">
        <v>170</v>
      </c>
      <c r="C878" s="9" t="s">
        <v>171</v>
      </c>
      <c r="D878" s="2" t="s">
        <v>708</v>
      </c>
    </row>
    <row r="879" spans="2:4" ht="16.5">
      <c r="B879" s="2" t="s">
        <v>173</v>
      </c>
      <c r="C879" s="9" t="s">
        <v>174</v>
      </c>
      <c r="D879" s="2" t="s">
        <v>708</v>
      </c>
    </row>
    <row r="880" spans="2:4" ht="16.5">
      <c r="B880" s="2" t="s">
        <v>292</v>
      </c>
      <c r="C880" s="9" t="s">
        <v>293</v>
      </c>
      <c r="D880" s="2" t="s">
        <v>705</v>
      </c>
    </row>
    <row r="881" spans="2:4" ht="16.5">
      <c r="B881" s="2" t="s">
        <v>284</v>
      </c>
      <c r="C881" s="9" t="s">
        <v>285</v>
      </c>
      <c r="D881" s="2" t="s">
        <v>705</v>
      </c>
    </row>
    <row r="882" spans="2:4" ht="16.5">
      <c r="B882" s="2" t="s">
        <v>55</v>
      </c>
      <c r="C882" s="9" t="s">
        <v>286</v>
      </c>
      <c r="D882" s="2" t="s">
        <v>705</v>
      </c>
    </row>
    <row r="883" spans="2:4" ht="16.5">
      <c r="B883" s="2" t="s">
        <v>27</v>
      </c>
      <c r="C883" s="9" t="s">
        <v>287</v>
      </c>
      <c r="D883" s="2" t="s">
        <v>705</v>
      </c>
    </row>
    <row r="884" spans="2:4" ht="16.5">
      <c r="B884" s="2" t="s">
        <v>288</v>
      </c>
      <c r="C884" s="9" t="s">
        <v>289</v>
      </c>
      <c r="D884" s="2" t="s">
        <v>705</v>
      </c>
    </row>
    <row r="885" spans="2:4" ht="16.5">
      <c r="B885" s="2" t="s">
        <v>707</v>
      </c>
      <c r="C885" s="9" t="s">
        <v>706</v>
      </c>
      <c r="D885" s="2" t="s">
        <v>705</v>
      </c>
    </row>
    <row r="886" spans="2:4" ht="16.5">
      <c r="B886" s="25" t="s">
        <v>405</v>
      </c>
      <c r="C886" s="24" t="s">
        <v>406</v>
      </c>
      <c r="D886" s="2" t="s">
        <v>705</v>
      </c>
    </row>
    <row r="887" spans="2:4" ht="16.5">
      <c r="B887" s="2" t="s">
        <v>351</v>
      </c>
      <c r="C887" s="9" t="s">
        <v>352</v>
      </c>
      <c r="D887" s="2" t="s">
        <v>538</v>
      </c>
    </row>
    <row r="888" spans="2:4" ht="16.5">
      <c r="B888" s="2" t="s">
        <v>353</v>
      </c>
      <c r="C888" s="9" t="s">
        <v>354</v>
      </c>
      <c r="D888" s="2" t="s">
        <v>538</v>
      </c>
    </row>
    <row r="889" spans="2:4" ht="16.5">
      <c r="B889" s="2" t="s">
        <v>540</v>
      </c>
      <c r="C889" s="9" t="s">
        <v>539</v>
      </c>
      <c r="D889" s="2" t="s">
        <v>538</v>
      </c>
    </row>
    <row r="890" spans="2:4" ht="16.5">
      <c r="B890" s="2" t="s">
        <v>356</v>
      </c>
      <c r="C890" s="9" t="s">
        <v>357</v>
      </c>
      <c r="D890" s="2" t="s">
        <v>538</v>
      </c>
    </row>
    <row r="891" spans="2:4" ht="16.5">
      <c r="B891" s="2" t="s">
        <v>49</v>
      </c>
      <c r="C891" s="9" t="s">
        <v>358</v>
      </c>
      <c r="D891" s="2" t="s">
        <v>538</v>
      </c>
    </row>
    <row r="892" spans="2:4" ht="16.5">
      <c r="B892" s="2" t="s">
        <v>388</v>
      </c>
      <c r="C892" s="9" t="s">
        <v>387</v>
      </c>
      <c r="D892" s="2" t="s">
        <v>538</v>
      </c>
    </row>
    <row r="893" spans="2:4" ht="16.5">
      <c r="B893" s="2" t="s">
        <v>704</v>
      </c>
      <c r="C893" s="9" t="s">
        <v>703</v>
      </c>
      <c r="D893" s="2" t="s">
        <v>538</v>
      </c>
    </row>
    <row r="894" spans="2:4" ht="16.5">
      <c r="B894" s="2" t="s">
        <v>362</v>
      </c>
      <c r="C894" s="9" t="s">
        <v>363</v>
      </c>
      <c r="D894" s="2" t="s">
        <v>538</v>
      </c>
    </row>
    <row r="895" spans="2:4" ht="16.5">
      <c r="B895" s="2" t="s">
        <v>390</v>
      </c>
      <c r="C895" s="9" t="s">
        <v>389</v>
      </c>
      <c r="D895" s="2" t="s">
        <v>538</v>
      </c>
    </row>
    <row r="896" spans="2:4" ht="16.5">
      <c r="B896" s="2" t="s">
        <v>392</v>
      </c>
      <c r="C896" s="9" t="s">
        <v>391</v>
      </c>
      <c r="D896" s="2" t="s">
        <v>538</v>
      </c>
    </row>
    <row r="897" spans="2:4" ht="16.5">
      <c r="B897" s="2" t="s">
        <v>393</v>
      </c>
      <c r="C897" s="9" t="s">
        <v>389</v>
      </c>
      <c r="D897" s="2" t="s">
        <v>538</v>
      </c>
    </row>
    <row r="898" spans="2:4" ht="16.5">
      <c r="B898" s="2" t="s">
        <v>395</v>
      </c>
      <c r="C898" s="9" t="s">
        <v>394</v>
      </c>
      <c r="D898" s="2" t="s">
        <v>538</v>
      </c>
    </row>
    <row r="899" spans="2:4" ht="16.5">
      <c r="B899" s="2" t="s">
        <v>396</v>
      </c>
      <c r="C899" s="9" t="s">
        <v>397</v>
      </c>
      <c r="D899" s="2" t="s">
        <v>538</v>
      </c>
    </row>
    <row r="900" spans="2:4" ht="16.5">
      <c r="B900" s="2" t="s">
        <v>399</v>
      </c>
      <c r="C900" s="9" t="s">
        <v>398</v>
      </c>
      <c r="D900" s="2" t="s">
        <v>538</v>
      </c>
    </row>
    <row r="901" spans="2:4" ht="16.5">
      <c r="B901" s="22" t="s">
        <v>411</v>
      </c>
      <c r="C901" s="23" t="s">
        <v>412</v>
      </c>
      <c r="D901" s="11" t="s">
        <v>700</v>
      </c>
    </row>
    <row r="902" spans="2:4" ht="16.5">
      <c r="B902" s="22" t="s">
        <v>413</v>
      </c>
      <c r="C902" s="23" t="s">
        <v>414</v>
      </c>
      <c r="D902" s="11" t="s">
        <v>700</v>
      </c>
    </row>
    <row r="903" spans="2:4" ht="16.5">
      <c r="B903" s="15" t="s">
        <v>415</v>
      </c>
      <c r="C903" s="14" t="s">
        <v>416</v>
      </c>
      <c r="D903" s="11" t="s">
        <v>700</v>
      </c>
    </row>
    <row r="904" spans="2:4" ht="16.5">
      <c r="B904" s="13" t="s">
        <v>417</v>
      </c>
      <c r="C904" s="12" t="s">
        <v>418</v>
      </c>
      <c r="D904" s="11" t="s">
        <v>700</v>
      </c>
    </row>
    <row r="905" spans="2:4" ht="16.5">
      <c r="B905" s="22" t="s">
        <v>419</v>
      </c>
      <c r="C905" s="21" t="s">
        <v>420</v>
      </c>
      <c r="D905" s="11" t="s">
        <v>700</v>
      </c>
    </row>
    <row r="906" spans="2:4" ht="16.5">
      <c r="B906" s="15" t="s">
        <v>79</v>
      </c>
      <c r="C906" s="14" t="s">
        <v>80</v>
      </c>
      <c r="D906" s="11" t="s">
        <v>700</v>
      </c>
    </row>
    <row r="907" spans="2:4" ht="16.5">
      <c r="B907" s="22" t="s">
        <v>81</v>
      </c>
      <c r="C907" s="21" t="s">
        <v>82</v>
      </c>
      <c r="D907" s="11" t="s">
        <v>700</v>
      </c>
    </row>
    <row r="908" spans="2:4" ht="16.5">
      <c r="B908" s="2" t="s">
        <v>702</v>
      </c>
      <c r="C908" s="9" t="s">
        <v>701</v>
      </c>
      <c r="D908" s="11" t="s">
        <v>700</v>
      </c>
    </row>
    <row r="909" spans="2:4" ht="16.5">
      <c r="B909" s="2" t="s">
        <v>699</v>
      </c>
      <c r="C909" s="9" t="s">
        <v>698</v>
      </c>
      <c r="D909" s="2" t="s">
        <v>697</v>
      </c>
    </row>
    <row r="910" spans="2:4" ht="16.5">
      <c r="B910" s="2" t="s">
        <v>365</v>
      </c>
      <c r="C910" s="9" t="s">
        <v>366</v>
      </c>
      <c r="D910" s="2" t="s">
        <v>697</v>
      </c>
    </row>
    <row r="911" spans="2:4" ht="16.5">
      <c r="B911" s="2" t="s">
        <v>62</v>
      </c>
      <c r="C911" s="9" t="s">
        <v>367</v>
      </c>
      <c r="D911" s="2" t="s">
        <v>697</v>
      </c>
    </row>
    <row r="912" spans="2:4" ht="16.5">
      <c r="B912" s="18" t="s">
        <v>50</v>
      </c>
      <c r="C912" s="20" t="s">
        <v>216</v>
      </c>
      <c r="D912" s="2" t="s">
        <v>696</v>
      </c>
    </row>
    <row r="913" spans="2:4" ht="16.5">
      <c r="B913" s="11" t="s">
        <v>39</v>
      </c>
      <c r="C913" s="19" t="s">
        <v>213</v>
      </c>
      <c r="D913" s="2" t="s">
        <v>696</v>
      </c>
    </row>
    <row r="914" spans="2:4" ht="16.5">
      <c r="B914" s="11" t="s">
        <v>54</v>
      </c>
      <c r="C914" s="14" t="s">
        <v>185</v>
      </c>
      <c r="D914" s="8" t="s">
        <v>692</v>
      </c>
    </row>
    <row r="915" spans="2:4" ht="16.5">
      <c r="B915" s="18" t="s">
        <v>484</v>
      </c>
      <c r="C915" s="12" t="s">
        <v>483</v>
      </c>
      <c r="D915" s="6" t="s">
        <v>692</v>
      </c>
    </row>
    <row r="916" spans="2:4" ht="16.5">
      <c r="B916" s="11" t="s">
        <v>695</v>
      </c>
      <c r="C916" s="14" t="s">
        <v>694</v>
      </c>
      <c r="D916" s="8" t="s">
        <v>692</v>
      </c>
    </row>
    <row r="917" spans="2:4" ht="16.5">
      <c r="B917" s="18" t="s">
        <v>425</v>
      </c>
      <c r="C917" s="12" t="s">
        <v>426</v>
      </c>
      <c r="D917" s="6" t="s">
        <v>692</v>
      </c>
    </row>
    <row r="918" spans="2:4" ht="16.5">
      <c r="B918" s="11" t="s">
        <v>202</v>
      </c>
      <c r="C918" s="14" t="s">
        <v>203</v>
      </c>
      <c r="D918" s="8" t="s">
        <v>692</v>
      </c>
    </row>
    <row r="919" spans="2:4" ht="16.5">
      <c r="B919" s="18" t="s">
        <v>197</v>
      </c>
      <c r="C919" s="12" t="s">
        <v>198</v>
      </c>
      <c r="D919" s="6" t="s">
        <v>692</v>
      </c>
    </row>
    <row r="920" spans="2:4" ht="16.5">
      <c r="B920" s="11" t="s">
        <v>204</v>
      </c>
      <c r="C920" s="14" t="s">
        <v>205</v>
      </c>
      <c r="D920" s="8" t="s">
        <v>692</v>
      </c>
    </row>
    <row r="921" spans="2:4" ht="16.5">
      <c r="B921" s="18" t="s">
        <v>423</v>
      </c>
      <c r="C921" s="12" t="s">
        <v>693</v>
      </c>
      <c r="D921" s="6" t="s">
        <v>692</v>
      </c>
    </row>
    <row r="922" spans="2:4" ht="16.5">
      <c r="B922" s="2" t="s">
        <v>222</v>
      </c>
      <c r="C922" s="17" t="s">
        <v>223</v>
      </c>
      <c r="D922" s="2" t="s">
        <v>689</v>
      </c>
    </row>
    <row r="923" spans="2:4" ht="16.5">
      <c r="B923" s="2" t="s">
        <v>224</v>
      </c>
      <c r="C923" s="17" t="s">
        <v>225</v>
      </c>
      <c r="D923" s="2" t="s">
        <v>689</v>
      </c>
    </row>
    <row r="924" spans="2:4" ht="16.5">
      <c r="B924" s="2" t="s">
        <v>691</v>
      </c>
      <c r="C924" s="3" t="s">
        <v>690</v>
      </c>
      <c r="D924" s="2" t="s">
        <v>689</v>
      </c>
    </row>
    <row r="925" spans="2:4" ht="16.5">
      <c r="B925" s="2" t="s">
        <v>249</v>
      </c>
      <c r="C925" s="3" t="s">
        <v>250</v>
      </c>
      <c r="D925" s="2" t="s">
        <v>689</v>
      </c>
    </row>
    <row r="926" spans="2:4" ht="16.5">
      <c r="B926" s="2" t="s">
        <v>60</v>
      </c>
      <c r="C926" s="16" t="s">
        <v>262</v>
      </c>
      <c r="D926" s="2" t="s">
        <v>689</v>
      </c>
    </row>
    <row r="927" spans="2:4" ht="16.5">
      <c r="B927" s="2" t="s">
        <v>252</v>
      </c>
      <c r="C927" s="3" t="s">
        <v>253</v>
      </c>
      <c r="D927" s="2" t="s">
        <v>689</v>
      </c>
    </row>
    <row r="928" spans="2:4" ht="16.5">
      <c r="B928" s="2" t="s">
        <v>257</v>
      </c>
      <c r="C928" s="3" t="s">
        <v>258</v>
      </c>
      <c r="D928" s="2" t="s">
        <v>689</v>
      </c>
    </row>
    <row r="929" spans="2:4" ht="16.5">
      <c r="B929" s="2" t="s">
        <v>242</v>
      </c>
      <c r="C929" s="3" t="s">
        <v>243</v>
      </c>
      <c r="D929" s="2" t="s">
        <v>689</v>
      </c>
    </row>
    <row r="930" spans="2:4" ht="16.5">
      <c r="B930" s="5" t="s">
        <v>688</v>
      </c>
      <c r="C930" s="3" t="s">
        <v>687</v>
      </c>
      <c r="D930" s="2" t="s">
        <v>684</v>
      </c>
    </row>
    <row r="931" spans="2:4" ht="16.5">
      <c r="B931" s="4" t="s">
        <v>686</v>
      </c>
      <c r="C931" s="3" t="s">
        <v>685</v>
      </c>
      <c r="D931" s="2" t="s">
        <v>684</v>
      </c>
    </row>
    <row r="932" spans="2:4" ht="16.5">
      <c r="B932" s="5" t="s">
        <v>683</v>
      </c>
      <c r="C932" s="7" t="s">
        <v>436</v>
      </c>
      <c r="D932" s="2" t="s">
        <v>676</v>
      </c>
    </row>
    <row r="933" spans="2:4" ht="16.5">
      <c r="B933" s="4" t="s">
        <v>682</v>
      </c>
      <c r="C933" s="3" t="s">
        <v>681</v>
      </c>
      <c r="D933" s="2" t="s">
        <v>676</v>
      </c>
    </row>
    <row r="934" spans="2:4" ht="16.5">
      <c r="B934" s="4" t="s">
        <v>680</v>
      </c>
      <c r="C934" s="3" t="s">
        <v>679</v>
      </c>
      <c r="D934" s="2" t="s">
        <v>676</v>
      </c>
    </row>
    <row r="935" spans="2:4" ht="16.5">
      <c r="B935" s="4" t="s">
        <v>678</v>
      </c>
      <c r="C935" s="3" t="s">
        <v>677</v>
      </c>
      <c r="D935" s="2" t="s">
        <v>676</v>
      </c>
    </row>
    <row r="936" spans="2:4" ht="16.5">
      <c r="B936" s="5" t="s">
        <v>675</v>
      </c>
      <c r="C936" s="3" t="s">
        <v>674</v>
      </c>
      <c r="D936" s="2" t="s">
        <v>649</v>
      </c>
    </row>
    <row r="937" spans="2:4" ht="16.5">
      <c r="B937" s="5" t="s">
        <v>673</v>
      </c>
      <c r="C937" s="3" t="s">
        <v>672</v>
      </c>
      <c r="D937" s="2" t="s">
        <v>649</v>
      </c>
    </row>
    <row r="938" spans="2:4" ht="16.5">
      <c r="B938" s="5" t="s">
        <v>671</v>
      </c>
      <c r="C938" s="3" t="s">
        <v>670</v>
      </c>
      <c r="D938" s="2" t="s">
        <v>649</v>
      </c>
    </row>
    <row r="939" spans="2:4" ht="16.5">
      <c r="B939" s="4" t="s">
        <v>669</v>
      </c>
      <c r="C939" s="3" t="s">
        <v>668</v>
      </c>
      <c r="D939" s="2" t="s">
        <v>649</v>
      </c>
    </row>
    <row r="940" spans="2:4" ht="16.5">
      <c r="B940" s="4" t="s">
        <v>667</v>
      </c>
      <c r="C940" s="3" t="s">
        <v>666</v>
      </c>
      <c r="D940" s="2" t="s">
        <v>649</v>
      </c>
    </row>
    <row r="941" spans="2:4" ht="16.5">
      <c r="B941" s="4" t="s">
        <v>665</v>
      </c>
      <c r="C941" s="3" t="s">
        <v>664</v>
      </c>
      <c r="D941" s="2" t="s">
        <v>649</v>
      </c>
    </row>
    <row r="942" spans="2:4" ht="16.5">
      <c r="B942" s="4" t="s">
        <v>663</v>
      </c>
      <c r="C942" s="3" t="s">
        <v>662</v>
      </c>
      <c r="D942" s="2" t="s">
        <v>649</v>
      </c>
    </row>
    <row r="943" spans="2:4" ht="16.5">
      <c r="B943" s="4" t="s">
        <v>427</v>
      </c>
      <c r="C943" s="3" t="s">
        <v>661</v>
      </c>
      <c r="D943" s="2" t="s">
        <v>649</v>
      </c>
    </row>
    <row r="944" spans="2:4" ht="16.5">
      <c r="B944" s="4" t="s">
        <v>660</v>
      </c>
      <c r="C944" s="3" t="s">
        <v>659</v>
      </c>
      <c r="D944" s="2" t="s">
        <v>649</v>
      </c>
    </row>
    <row r="945" spans="2:4" ht="16.5">
      <c r="B945" s="4" t="s">
        <v>658</v>
      </c>
      <c r="C945" s="3" t="s">
        <v>657</v>
      </c>
      <c r="D945" s="2" t="s">
        <v>649</v>
      </c>
    </row>
    <row r="946" spans="2:4" ht="16.5">
      <c r="B946" s="4" t="s">
        <v>656</v>
      </c>
      <c r="C946" s="3" t="s">
        <v>655</v>
      </c>
      <c r="D946" s="2" t="s">
        <v>649</v>
      </c>
    </row>
    <row r="947" spans="2:4" ht="16.5">
      <c r="B947" s="4" t="s">
        <v>654</v>
      </c>
      <c r="C947" s="3" t="s">
        <v>653</v>
      </c>
      <c r="D947" s="2" t="s">
        <v>649</v>
      </c>
    </row>
    <row r="948" spans="2:4" ht="16.5">
      <c r="B948" s="4" t="s">
        <v>652</v>
      </c>
      <c r="C948" s="3" t="s">
        <v>651</v>
      </c>
      <c r="D948" s="2" t="s">
        <v>649</v>
      </c>
    </row>
    <row r="949" spans="2:4" ht="16.5">
      <c r="B949" s="4" t="s">
        <v>431</v>
      </c>
      <c r="C949" s="3" t="s">
        <v>650</v>
      </c>
      <c r="D949" s="2" t="s">
        <v>649</v>
      </c>
    </row>
    <row r="950" spans="2:4" ht="16.5">
      <c r="B950" s="2" t="s">
        <v>93</v>
      </c>
      <c r="C950" s="9" t="s">
        <v>648</v>
      </c>
      <c r="D950" s="2" t="s">
        <v>634</v>
      </c>
    </row>
    <row r="951" spans="2:4" ht="16.5">
      <c r="B951" s="2" t="s">
        <v>647</v>
      </c>
      <c r="C951" s="9" t="s">
        <v>2</v>
      </c>
      <c r="D951" s="2" t="s">
        <v>634</v>
      </c>
    </row>
    <row r="952" spans="2:4" ht="16.5">
      <c r="B952" s="5" t="s">
        <v>646</v>
      </c>
      <c r="C952" s="3" t="s">
        <v>645</v>
      </c>
      <c r="D952" s="2" t="s">
        <v>634</v>
      </c>
    </row>
    <row r="953" spans="2:4" ht="16.5">
      <c r="B953" s="4" t="s">
        <v>644</v>
      </c>
      <c r="C953" s="3" t="s">
        <v>643</v>
      </c>
      <c r="D953" s="2" t="s">
        <v>634</v>
      </c>
    </row>
    <row r="954" spans="2:4" ht="16.5">
      <c r="B954" s="5" t="s">
        <v>642</v>
      </c>
      <c r="C954" s="3" t="s">
        <v>641</v>
      </c>
      <c r="D954" s="2" t="s">
        <v>634</v>
      </c>
    </row>
    <row r="955" spans="2:4" ht="16.5">
      <c r="B955" s="5" t="s">
        <v>640</v>
      </c>
      <c r="C955" s="3" t="s">
        <v>639</v>
      </c>
      <c r="D955" s="2" t="s">
        <v>634</v>
      </c>
    </row>
    <row r="956" spans="2:4" ht="16.5">
      <c r="B956" s="5" t="s">
        <v>638</v>
      </c>
      <c r="C956" s="3" t="s">
        <v>637</v>
      </c>
      <c r="D956" s="2" t="s">
        <v>634</v>
      </c>
    </row>
    <row r="957" spans="2:4" ht="16.5">
      <c r="B957" s="4" t="s">
        <v>636</v>
      </c>
      <c r="C957" s="3" t="s">
        <v>635</v>
      </c>
      <c r="D957" s="2" t="s">
        <v>634</v>
      </c>
    </row>
    <row r="958" spans="2:4" ht="16.5">
      <c r="B958" s="4" t="s">
        <v>633</v>
      </c>
      <c r="C958" s="3" t="s">
        <v>632</v>
      </c>
      <c r="D958" s="2" t="s">
        <v>623</v>
      </c>
    </row>
    <row r="959" spans="2:4" ht="16.5">
      <c r="B959" s="4" t="s">
        <v>631</v>
      </c>
      <c r="C959" s="3" t="s">
        <v>630</v>
      </c>
      <c r="D959" s="2" t="s">
        <v>623</v>
      </c>
    </row>
    <row r="960" spans="2:4" ht="16.5">
      <c r="B960" s="4" t="s">
        <v>629</v>
      </c>
      <c r="C960" s="3" t="s">
        <v>628</v>
      </c>
      <c r="D960" s="2" t="s">
        <v>623</v>
      </c>
    </row>
    <row r="961" spans="2:4" ht="16.5">
      <c r="B961" s="4" t="s">
        <v>627</v>
      </c>
      <c r="C961" s="3" t="s">
        <v>626</v>
      </c>
      <c r="D961" s="2" t="s">
        <v>623</v>
      </c>
    </row>
    <row r="962" spans="2:4" ht="16.5">
      <c r="B962" s="4" t="s">
        <v>625</v>
      </c>
      <c r="C962" s="3" t="s">
        <v>624</v>
      </c>
      <c r="D962" s="2" t="s">
        <v>623</v>
      </c>
    </row>
    <row r="963" spans="2:4" ht="16.5">
      <c r="B963" s="5" t="s">
        <v>622</v>
      </c>
      <c r="C963" s="3" t="s">
        <v>621</v>
      </c>
      <c r="D963" s="2" t="s">
        <v>595</v>
      </c>
    </row>
    <row r="964" spans="2:4" ht="16.5">
      <c r="B964" s="4" t="s">
        <v>620</v>
      </c>
      <c r="C964" s="3" t="s">
        <v>619</v>
      </c>
      <c r="D964" s="2" t="s">
        <v>595</v>
      </c>
    </row>
    <row r="965" spans="2:4" ht="16.5">
      <c r="B965" s="4" t="s">
        <v>618</v>
      </c>
      <c r="C965" s="3" t="s">
        <v>617</v>
      </c>
      <c r="D965" s="2" t="s">
        <v>595</v>
      </c>
    </row>
    <row r="966" spans="2:4" ht="16.5">
      <c r="B966" s="4" t="s">
        <v>616</v>
      </c>
      <c r="C966" s="3" t="s">
        <v>615</v>
      </c>
      <c r="D966" s="2" t="s">
        <v>595</v>
      </c>
    </row>
    <row r="967" spans="2:4" ht="16.5">
      <c r="B967" s="4" t="s">
        <v>614</v>
      </c>
      <c r="C967" s="3" t="s">
        <v>613</v>
      </c>
      <c r="D967" s="2" t="s">
        <v>595</v>
      </c>
    </row>
    <row r="968" spans="2:4" ht="16.5">
      <c r="B968" s="4" t="s">
        <v>612</v>
      </c>
      <c r="C968" s="3" t="s">
        <v>611</v>
      </c>
      <c r="D968" s="2" t="s">
        <v>595</v>
      </c>
    </row>
    <row r="969" spans="2:4" ht="16.5">
      <c r="B969" s="4" t="s">
        <v>610</v>
      </c>
      <c r="C969" s="3" t="s">
        <v>609</v>
      </c>
      <c r="D969" s="2" t="s">
        <v>595</v>
      </c>
    </row>
    <row r="970" spans="2:4" ht="16.5">
      <c r="B970" s="4" t="s">
        <v>608</v>
      </c>
      <c r="C970" s="3" t="s">
        <v>607</v>
      </c>
      <c r="D970" s="2" t="s">
        <v>595</v>
      </c>
    </row>
    <row r="971" spans="2:4" ht="16.5">
      <c r="B971" s="4" t="s">
        <v>606</v>
      </c>
      <c r="C971" s="3" t="s">
        <v>605</v>
      </c>
      <c r="D971" s="2" t="s">
        <v>595</v>
      </c>
    </row>
    <row r="972" spans="2:4" ht="16.5">
      <c r="B972" s="4" t="s">
        <v>604</v>
      </c>
      <c r="C972" s="3" t="s">
        <v>603</v>
      </c>
      <c r="D972" s="2" t="s">
        <v>595</v>
      </c>
    </row>
    <row r="973" spans="2:4" ht="16.5">
      <c r="B973" s="4" t="s">
        <v>602</v>
      </c>
      <c r="C973" s="3" t="s">
        <v>601</v>
      </c>
      <c r="D973" s="2" t="s">
        <v>595</v>
      </c>
    </row>
    <row r="974" spans="2:4" ht="16.5">
      <c r="B974" s="4" t="s">
        <v>600</v>
      </c>
      <c r="C974" s="3" t="s">
        <v>599</v>
      </c>
      <c r="D974" s="2" t="s">
        <v>595</v>
      </c>
    </row>
    <row r="975" spans="2:4" ht="16.5">
      <c r="B975" s="4" t="s">
        <v>598</v>
      </c>
      <c r="C975" s="3" t="s">
        <v>597</v>
      </c>
      <c r="D975" s="2" t="s">
        <v>595</v>
      </c>
    </row>
    <row r="976" spans="2:4" ht="16.5">
      <c r="B976" s="4" t="s">
        <v>438</v>
      </c>
      <c r="C976" s="3" t="s">
        <v>596</v>
      </c>
      <c r="D976" s="2" t="s">
        <v>595</v>
      </c>
    </row>
    <row r="977" spans="2:4" ht="16.5">
      <c r="B977" s="5" t="s">
        <v>594</v>
      </c>
      <c r="C977" s="3" t="s">
        <v>593</v>
      </c>
      <c r="D977" s="2" t="s">
        <v>576</v>
      </c>
    </row>
    <row r="978" spans="2:4" ht="16.5">
      <c r="B978" s="4" t="s">
        <v>592</v>
      </c>
      <c r="C978" s="3" t="s">
        <v>591</v>
      </c>
      <c r="D978" s="2" t="s">
        <v>576</v>
      </c>
    </row>
    <row r="979" spans="2:4" ht="16.5">
      <c r="B979" s="4" t="s">
        <v>590</v>
      </c>
      <c r="C979" s="3" t="s">
        <v>589</v>
      </c>
      <c r="D979" s="2" t="s">
        <v>576</v>
      </c>
    </row>
    <row r="980" spans="2:4" ht="16.5">
      <c r="B980" s="4" t="s">
        <v>588</v>
      </c>
      <c r="C980" s="3" t="s">
        <v>587</v>
      </c>
      <c r="D980" s="2" t="s">
        <v>576</v>
      </c>
    </row>
    <row r="981" spans="2:4" ht="16.5">
      <c r="B981" s="4" t="s">
        <v>586</v>
      </c>
      <c r="C981" s="3" t="s">
        <v>585</v>
      </c>
      <c r="D981" s="2" t="s">
        <v>576</v>
      </c>
    </row>
    <row r="982" spans="2:4" ht="16.5">
      <c r="B982" s="4" t="s">
        <v>584</v>
      </c>
      <c r="C982" s="3" t="s">
        <v>583</v>
      </c>
      <c r="D982" s="2" t="s">
        <v>576</v>
      </c>
    </row>
    <row r="983" spans="2:4" ht="16.5">
      <c r="B983" s="4" t="s">
        <v>582</v>
      </c>
      <c r="C983" s="3" t="s">
        <v>581</v>
      </c>
      <c r="D983" s="2" t="s">
        <v>576</v>
      </c>
    </row>
    <row r="984" spans="2:4" ht="16.5">
      <c r="B984" s="4" t="s">
        <v>580</v>
      </c>
      <c r="C984" s="3" t="s">
        <v>579</v>
      </c>
      <c r="D984" s="2" t="s">
        <v>576</v>
      </c>
    </row>
    <row r="985" spans="2:4" ht="16.5">
      <c r="B985" s="4" t="s">
        <v>578</v>
      </c>
      <c r="C985" s="3" t="s">
        <v>577</v>
      </c>
      <c r="D985" s="2" t="s">
        <v>576</v>
      </c>
    </row>
    <row r="986" spans="2:4" ht="16.5">
      <c r="B986" s="5" t="s">
        <v>575</v>
      </c>
      <c r="C986" s="3" t="s">
        <v>574</v>
      </c>
      <c r="D986" s="2" t="s">
        <v>567</v>
      </c>
    </row>
    <row r="987" spans="2:4" ht="16.5">
      <c r="B987" s="4" t="s">
        <v>573</v>
      </c>
      <c r="C987" s="3" t="s">
        <v>572</v>
      </c>
      <c r="D987" s="2" t="s">
        <v>567</v>
      </c>
    </row>
    <row r="988" spans="2:4" ht="16.5">
      <c r="B988" s="4" t="s">
        <v>571</v>
      </c>
      <c r="C988" s="3" t="s">
        <v>570</v>
      </c>
      <c r="D988" s="2" t="s">
        <v>567</v>
      </c>
    </row>
    <row r="989" spans="2:4" ht="16.5">
      <c r="B989" s="4" t="s">
        <v>569</v>
      </c>
      <c r="C989" s="3" t="s">
        <v>568</v>
      </c>
      <c r="D989" s="2" t="s">
        <v>567</v>
      </c>
    </row>
    <row r="990" spans="2:4" ht="16.5">
      <c r="B990" s="4" t="s">
        <v>566</v>
      </c>
      <c r="C990" s="3" t="s">
        <v>565</v>
      </c>
      <c r="D990" s="2" t="s">
        <v>552</v>
      </c>
    </row>
    <row r="991" spans="2:4" ht="16.5">
      <c r="B991" s="4" t="s">
        <v>564</v>
      </c>
      <c r="C991" s="3" t="s">
        <v>563</v>
      </c>
      <c r="D991" s="2" t="s">
        <v>552</v>
      </c>
    </row>
    <row r="992" spans="2:4" ht="16.5">
      <c r="B992" s="4" t="s">
        <v>562</v>
      </c>
      <c r="C992" s="3" t="s">
        <v>561</v>
      </c>
      <c r="D992" s="2" t="s">
        <v>552</v>
      </c>
    </row>
    <row r="993" spans="2:4" ht="16.5">
      <c r="B993" s="4" t="s">
        <v>560</v>
      </c>
      <c r="C993" s="3" t="s">
        <v>559</v>
      </c>
      <c r="D993" s="2" t="s">
        <v>552</v>
      </c>
    </row>
    <row r="994" spans="2:4" ht="16.5">
      <c r="B994" s="4" t="s">
        <v>558</v>
      </c>
      <c r="C994" s="3" t="s">
        <v>557</v>
      </c>
      <c r="D994" s="2" t="s">
        <v>552</v>
      </c>
    </row>
    <row r="995" spans="2:4" ht="16.5">
      <c r="B995" s="4" t="s">
        <v>556</v>
      </c>
      <c r="C995" s="3" t="s">
        <v>555</v>
      </c>
      <c r="D995" s="2" t="s">
        <v>552</v>
      </c>
    </row>
    <row r="996" spans="2:4" ht="16.5">
      <c r="B996" s="4" t="s">
        <v>554</v>
      </c>
      <c r="C996" s="3" t="s">
        <v>553</v>
      </c>
      <c r="D996" s="2" t="s">
        <v>552</v>
      </c>
    </row>
    <row r="997" spans="2:4" ht="16.5">
      <c r="B997" s="5" t="s">
        <v>551</v>
      </c>
      <c r="C997" s="3" t="s">
        <v>550</v>
      </c>
      <c r="D997" s="2" t="s">
        <v>549</v>
      </c>
    </row>
    <row r="998" spans="2:4" ht="16.5">
      <c r="B998" s="4" t="s">
        <v>548</v>
      </c>
      <c r="C998" s="3" t="s">
        <v>547</v>
      </c>
      <c r="D998" s="2" t="s">
        <v>538</v>
      </c>
    </row>
    <row r="999" spans="2:4" ht="16.5">
      <c r="B999" s="4" t="s">
        <v>546</v>
      </c>
      <c r="C999" s="3" t="s">
        <v>545</v>
      </c>
      <c r="D999" s="2" t="s">
        <v>538</v>
      </c>
    </row>
    <row r="1000" spans="2:4" ht="16.5">
      <c r="B1000" s="4" t="s">
        <v>544</v>
      </c>
      <c r="C1000" s="3" t="s">
        <v>543</v>
      </c>
      <c r="D1000" s="2" t="s">
        <v>538</v>
      </c>
    </row>
    <row r="1001" spans="2:4" ht="16.5">
      <c r="B1001" s="4" t="s">
        <v>542</v>
      </c>
      <c r="C1001" s="3" t="s">
        <v>541</v>
      </c>
      <c r="D1001" s="2" t="s">
        <v>538</v>
      </c>
    </row>
    <row r="1002" spans="2:4" ht="16.5">
      <c r="B1002" s="4" t="s">
        <v>540</v>
      </c>
      <c r="C1002" s="3" t="s">
        <v>539</v>
      </c>
      <c r="D1002" s="2" t="s">
        <v>538</v>
      </c>
    </row>
    <row r="1003" spans="2:4" ht="16.5">
      <c r="B1003" s="4" t="s">
        <v>388</v>
      </c>
      <c r="C1003" s="3" t="s">
        <v>387</v>
      </c>
      <c r="D1003" s="2" t="s">
        <v>538</v>
      </c>
    </row>
    <row r="1004" spans="2:4" ht="16.5">
      <c r="B1004" s="4" t="s">
        <v>390</v>
      </c>
      <c r="C1004" s="3" t="s">
        <v>389</v>
      </c>
      <c r="D1004" s="2" t="s">
        <v>538</v>
      </c>
    </row>
    <row r="1005" spans="2:4" ht="16.5">
      <c r="B1005" s="4" t="s">
        <v>392</v>
      </c>
      <c r="C1005" s="3" t="s">
        <v>391</v>
      </c>
      <c r="D1005" s="2" t="s">
        <v>538</v>
      </c>
    </row>
    <row r="1006" spans="2:4" ht="16.5">
      <c r="B1006" s="4" t="s">
        <v>393</v>
      </c>
      <c r="C1006" s="3" t="s">
        <v>389</v>
      </c>
      <c r="D1006" s="2" t="s">
        <v>538</v>
      </c>
    </row>
    <row r="1007" spans="2:4" ht="16.5">
      <c r="B1007" s="4" t="s">
        <v>395</v>
      </c>
      <c r="C1007" s="3" t="s">
        <v>394</v>
      </c>
      <c r="D1007" s="2" t="s">
        <v>538</v>
      </c>
    </row>
    <row r="1008" spans="2:4" ht="16.5">
      <c r="B1008" s="4" t="s">
        <v>396</v>
      </c>
      <c r="C1008" s="3" t="s">
        <v>397</v>
      </c>
      <c r="D1008" s="2" t="s">
        <v>538</v>
      </c>
    </row>
    <row r="1009" spans="2:4" ht="16.5">
      <c r="B1009" s="4" t="s">
        <v>399</v>
      </c>
      <c r="C1009" s="3" t="s">
        <v>398</v>
      </c>
      <c r="D1009" s="2" t="s">
        <v>538</v>
      </c>
    </row>
    <row r="1010" spans="2:4" ht="16.5">
      <c r="B1010" s="5" t="s">
        <v>537</v>
      </c>
      <c r="C1010" s="3" t="s">
        <v>536</v>
      </c>
      <c r="D1010" s="11" t="s">
        <v>525</v>
      </c>
    </row>
    <row r="1011" spans="2:4" ht="16.5">
      <c r="B1011" s="5" t="s">
        <v>535</v>
      </c>
      <c r="C1011" s="3" t="s">
        <v>534</v>
      </c>
      <c r="D1011" s="11" t="s">
        <v>525</v>
      </c>
    </row>
    <row r="1012" spans="2:4" ht="16.5">
      <c r="B1012" s="5" t="s">
        <v>533</v>
      </c>
      <c r="C1012" s="3" t="s">
        <v>532</v>
      </c>
      <c r="D1012" s="11" t="s">
        <v>525</v>
      </c>
    </row>
    <row r="1013" spans="2:4" ht="16.5">
      <c r="B1013" s="5" t="s">
        <v>531</v>
      </c>
      <c r="C1013" s="3" t="s">
        <v>530</v>
      </c>
      <c r="D1013" s="11" t="s">
        <v>525</v>
      </c>
    </row>
    <row r="1014" spans="2:4" ht="16.5">
      <c r="B1014" s="5" t="s">
        <v>529</v>
      </c>
      <c r="C1014" s="3" t="s">
        <v>528</v>
      </c>
      <c r="D1014" s="11" t="s">
        <v>525</v>
      </c>
    </row>
    <row r="1015" spans="2:4" ht="16.5">
      <c r="B1015" s="5" t="s">
        <v>527</v>
      </c>
      <c r="C1015" s="3" t="s">
        <v>526</v>
      </c>
      <c r="D1015" s="11" t="s">
        <v>525</v>
      </c>
    </row>
    <row r="1016" spans="2:4" ht="16.5">
      <c r="B1016" s="15" t="s">
        <v>415</v>
      </c>
      <c r="C1016" s="14" t="s">
        <v>416</v>
      </c>
      <c r="D1016" s="11" t="s">
        <v>525</v>
      </c>
    </row>
    <row r="1017" spans="2:4" ht="16.5">
      <c r="B1017" s="13" t="s">
        <v>417</v>
      </c>
      <c r="C1017" s="12" t="s">
        <v>418</v>
      </c>
      <c r="D1017" s="11" t="s">
        <v>525</v>
      </c>
    </row>
    <row r="1018" spans="2:4" ht="16.5">
      <c r="B1018" s="4" t="s">
        <v>524</v>
      </c>
      <c r="C1018" s="3" t="s">
        <v>523</v>
      </c>
      <c r="D1018" s="2" t="s">
        <v>514</v>
      </c>
    </row>
    <row r="1019" spans="2:4" ht="16.5">
      <c r="B1019" s="4" t="s">
        <v>522</v>
      </c>
      <c r="C1019" s="3" t="s">
        <v>521</v>
      </c>
      <c r="D1019" s="2" t="s">
        <v>514</v>
      </c>
    </row>
    <row r="1020" spans="2:4" ht="16.5">
      <c r="B1020" s="4" t="s">
        <v>520</v>
      </c>
      <c r="C1020" s="3" t="s">
        <v>519</v>
      </c>
      <c r="D1020" s="2" t="s">
        <v>514</v>
      </c>
    </row>
    <row r="1021" spans="2:4" ht="16.5">
      <c r="B1021" s="4" t="s">
        <v>518</v>
      </c>
      <c r="C1021" s="3" t="s">
        <v>517</v>
      </c>
      <c r="D1021" s="2" t="s">
        <v>514</v>
      </c>
    </row>
    <row r="1022" spans="2:4" ht="16.5">
      <c r="B1022" s="10" t="s">
        <v>516</v>
      </c>
      <c r="C1022" s="9" t="s">
        <v>515</v>
      </c>
      <c r="D1022" s="2" t="s">
        <v>514</v>
      </c>
    </row>
    <row r="1023" spans="2:4" ht="16.5">
      <c r="B1023" s="5" t="s">
        <v>513</v>
      </c>
      <c r="C1023" s="3" t="s">
        <v>512</v>
      </c>
      <c r="D1023" s="2" t="s">
        <v>499</v>
      </c>
    </row>
    <row r="1024" spans="2:4" ht="16.5">
      <c r="B1024" s="4" t="s">
        <v>511</v>
      </c>
      <c r="C1024" s="3" t="s">
        <v>510</v>
      </c>
      <c r="D1024" s="2" t="s">
        <v>499</v>
      </c>
    </row>
    <row r="1025" spans="2:4" ht="16.5">
      <c r="B1025" s="4" t="s">
        <v>509</v>
      </c>
      <c r="C1025" s="3" t="s">
        <v>508</v>
      </c>
      <c r="D1025" s="2" t="s">
        <v>499</v>
      </c>
    </row>
    <row r="1026" spans="2:4" ht="16.5">
      <c r="B1026" s="4" t="s">
        <v>507</v>
      </c>
      <c r="C1026" s="3" t="s">
        <v>506</v>
      </c>
      <c r="D1026" s="2" t="s">
        <v>499</v>
      </c>
    </row>
    <row r="1027" spans="2:4" ht="16.5">
      <c r="B1027" s="4" t="s">
        <v>505</v>
      </c>
      <c r="C1027" s="3" t="s">
        <v>504</v>
      </c>
      <c r="D1027" s="2" t="s">
        <v>499</v>
      </c>
    </row>
    <row r="1028" spans="2:4" ht="16.5">
      <c r="B1028" s="4" t="s">
        <v>503</v>
      </c>
      <c r="C1028" s="3" t="s">
        <v>502</v>
      </c>
      <c r="D1028" s="2" t="s">
        <v>499</v>
      </c>
    </row>
    <row r="1029" spans="2:4" ht="16.5">
      <c r="B1029" s="4" t="s">
        <v>501</v>
      </c>
      <c r="C1029" s="3" t="s">
        <v>500</v>
      </c>
      <c r="D1029" s="2" t="s">
        <v>499</v>
      </c>
    </row>
    <row r="1030" spans="2:4" ht="16.5">
      <c r="B1030" s="5" t="s">
        <v>498</v>
      </c>
      <c r="C1030" s="3" t="s">
        <v>497</v>
      </c>
      <c r="D1030" s="8" t="s">
        <v>475</v>
      </c>
    </row>
    <row r="1031" spans="2:4" ht="16.5">
      <c r="B1031" s="4" t="s">
        <v>496</v>
      </c>
      <c r="C1031" s="3" t="s">
        <v>495</v>
      </c>
      <c r="D1031" s="6" t="s">
        <v>475</v>
      </c>
    </row>
    <row r="1032" spans="2:4" ht="16.5">
      <c r="B1032" s="4" t="s">
        <v>494</v>
      </c>
      <c r="C1032" s="3" t="s">
        <v>493</v>
      </c>
      <c r="D1032" s="8" t="s">
        <v>475</v>
      </c>
    </row>
    <row r="1033" spans="2:4" ht="16.5">
      <c r="B1033" s="4" t="s">
        <v>492</v>
      </c>
      <c r="C1033" s="3" t="s">
        <v>491</v>
      </c>
      <c r="D1033" s="6" t="s">
        <v>475</v>
      </c>
    </row>
    <row r="1034" spans="2:4" ht="16.5">
      <c r="B1034" s="4" t="s">
        <v>490</v>
      </c>
      <c r="C1034" s="3" t="s">
        <v>489</v>
      </c>
      <c r="D1034" s="8" t="s">
        <v>475</v>
      </c>
    </row>
    <row r="1035" spans="2:4" ht="16.5">
      <c r="B1035" s="4" t="s">
        <v>488</v>
      </c>
      <c r="C1035" s="3" t="s">
        <v>487</v>
      </c>
      <c r="D1035" s="6" t="s">
        <v>475</v>
      </c>
    </row>
    <row r="1036" spans="2:4" ht="16.5">
      <c r="B1036" s="4" t="s">
        <v>204</v>
      </c>
      <c r="C1036" s="3" t="s">
        <v>486</v>
      </c>
      <c r="D1036" s="8" t="s">
        <v>475</v>
      </c>
    </row>
    <row r="1037" spans="2:4" ht="16.5">
      <c r="B1037" s="4" t="s">
        <v>202</v>
      </c>
      <c r="C1037" s="3" t="s">
        <v>485</v>
      </c>
      <c r="D1037" s="6" t="s">
        <v>475</v>
      </c>
    </row>
    <row r="1038" spans="2:4" ht="16.5">
      <c r="B1038" s="4" t="s">
        <v>425</v>
      </c>
      <c r="C1038" s="3" t="s">
        <v>426</v>
      </c>
      <c r="D1038" s="6" t="s">
        <v>475</v>
      </c>
    </row>
    <row r="1039" spans="2:4" ht="16.5">
      <c r="B1039" s="4" t="s">
        <v>484</v>
      </c>
      <c r="C1039" s="3" t="s">
        <v>483</v>
      </c>
      <c r="D1039" s="6" t="s">
        <v>475</v>
      </c>
    </row>
    <row r="1040" spans="2:4" ht="16.5">
      <c r="B1040" s="4" t="s">
        <v>423</v>
      </c>
      <c r="C1040" s="3" t="s">
        <v>482</v>
      </c>
      <c r="D1040" s="6" t="s">
        <v>475</v>
      </c>
    </row>
    <row r="1041" spans="2:4" ht="16.5">
      <c r="B1041" s="4" t="s">
        <v>481</v>
      </c>
      <c r="C1041" s="7" t="s">
        <v>480</v>
      </c>
      <c r="D1041" s="6" t="s">
        <v>475</v>
      </c>
    </row>
    <row r="1042" spans="2:4" ht="16.5">
      <c r="B1042" s="4" t="s">
        <v>479</v>
      </c>
      <c r="C1042" s="3" t="s">
        <v>478</v>
      </c>
      <c r="D1042" s="6" t="s">
        <v>475</v>
      </c>
    </row>
    <row r="1043" spans="2:4" ht="16.5">
      <c r="B1043" s="5" t="s">
        <v>477</v>
      </c>
      <c r="C1043" s="3" t="s">
        <v>476</v>
      </c>
      <c r="D1043" s="6" t="s">
        <v>475</v>
      </c>
    </row>
    <row r="1044" spans="2:4" ht="16.5">
      <c r="B1044" s="5" t="s">
        <v>474</v>
      </c>
      <c r="C1044" s="3" t="s">
        <v>473</v>
      </c>
      <c r="D1044" s="2" t="s">
        <v>458</v>
      </c>
    </row>
    <row r="1045" spans="2:4" ht="16.5">
      <c r="B1045" s="4" t="s">
        <v>472</v>
      </c>
      <c r="C1045" s="3" t="s">
        <v>471</v>
      </c>
      <c r="D1045" s="2" t="s">
        <v>458</v>
      </c>
    </row>
    <row r="1046" spans="2:4" ht="16.5">
      <c r="B1046" s="5" t="s">
        <v>470</v>
      </c>
      <c r="C1046" s="3" t="s">
        <v>469</v>
      </c>
      <c r="D1046" s="2" t="s">
        <v>458</v>
      </c>
    </row>
    <row r="1047" spans="2:4" ht="16.5">
      <c r="B1047" s="4" t="s">
        <v>468</v>
      </c>
      <c r="C1047" s="3" t="s">
        <v>467</v>
      </c>
      <c r="D1047" s="2" t="s">
        <v>458</v>
      </c>
    </row>
    <row r="1048" spans="2:4" ht="16.5">
      <c r="B1048" s="4" t="s">
        <v>466</v>
      </c>
      <c r="C1048" s="3" t="s">
        <v>465</v>
      </c>
      <c r="D1048" s="2" t="s">
        <v>458</v>
      </c>
    </row>
    <row r="1049" spans="2:4" ht="16.5">
      <c r="B1049" s="4" t="s">
        <v>464</v>
      </c>
      <c r="C1049" s="3" t="s">
        <v>463</v>
      </c>
      <c r="D1049" s="2" t="s">
        <v>458</v>
      </c>
    </row>
    <row r="1050" spans="2:4" ht="16.5">
      <c r="B1050" s="4" t="s">
        <v>462</v>
      </c>
      <c r="C1050" s="3" t="s">
        <v>461</v>
      </c>
      <c r="D1050" s="2" t="s">
        <v>458</v>
      </c>
    </row>
    <row r="1051" spans="2:4" ht="16.5">
      <c r="B1051" s="4" t="s">
        <v>460</v>
      </c>
      <c r="C1051" s="3" t="s">
        <v>459</v>
      </c>
      <c r="D1051" s="2" t="s">
        <v>458</v>
      </c>
    </row>
    <row r="1052" spans="2:4" ht="16.5">
      <c r="B1052" s="5" t="s">
        <v>457</v>
      </c>
      <c r="C1052" s="3" t="s">
        <v>456</v>
      </c>
      <c r="D1052" s="2" t="s">
        <v>443</v>
      </c>
    </row>
    <row r="1053" spans="2:4" ht="16.5">
      <c r="B1053" s="4" t="s">
        <v>455</v>
      </c>
      <c r="C1053" s="3" t="s">
        <v>454</v>
      </c>
      <c r="D1053" s="2" t="s">
        <v>443</v>
      </c>
    </row>
    <row r="1054" spans="2:4" ht="16.5">
      <c r="B1054" s="4" t="s">
        <v>453</v>
      </c>
      <c r="C1054" s="3" t="s">
        <v>452</v>
      </c>
      <c r="D1054" s="2" t="s">
        <v>443</v>
      </c>
    </row>
    <row r="1055" spans="2:4" ht="16.5">
      <c r="B1055" s="4" t="s">
        <v>451</v>
      </c>
      <c r="C1055" s="3" t="s">
        <v>450</v>
      </c>
      <c r="D1055" s="2" t="s">
        <v>443</v>
      </c>
    </row>
    <row r="1056" spans="2:4" ht="16.5">
      <c r="B1056" s="4" t="s">
        <v>449</v>
      </c>
      <c r="C1056" s="3" t="s">
        <v>448</v>
      </c>
      <c r="D1056" s="2" t="s">
        <v>443</v>
      </c>
    </row>
    <row r="1057" spans="2:4" ht="16.5">
      <c r="B1057" s="4" t="s">
        <v>447</v>
      </c>
      <c r="C1057" s="3" t="s">
        <v>446</v>
      </c>
      <c r="D1057" s="2" t="s">
        <v>443</v>
      </c>
    </row>
    <row r="1058" spans="2:4" ht="16.5">
      <c r="B1058" s="4" t="s">
        <v>445</v>
      </c>
      <c r="C1058" s="3" t="s">
        <v>444</v>
      </c>
      <c r="D1058" s="2" t="s">
        <v>443</v>
      </c>
    </row>
  </sheetData>
  <conditionalFormatting sqref="B161">
    <cfRule type="duplicateValues" dxfId="54" priority="36"/>
  </conditionalFormatting>
  <conditionalFormatting sqref="B303">
    <cfRule type="duplicateValues" dxfId="53" priority="32"/>
  </conditionalFormatting>
  <conditionalFormatting sqref="B67:C67">
    <cfRule type="duplicateValues" dxfId="52" priority="54"/>
  </conditionalFormatting>
  <conditionalFormatting sqref="B71:C71">
    <cfRule type="duplicateValues" dxfId="51" priority="35"/>
  </conditionalFormatting>
  <conditionalFormatting sqref="B86:C86">
    <cfRule type="duplicateValues" dxfId="50" priority="53"/>
  </conditionalFormatting>
  <conditionalFormatting sqref="B91:C91">
    <cfRule type="duplicateValues" dxfId="49" priority="52"/>
  </conditionalFormatting>
  <conditionalFormatting sqref="B98:C98">
    <cfRule type="duplicateValues" dxfId="48" priority="51"/>
  </conditionalFormatting>
  <conditionalFormatting sqref="B115:C115">
    <cfRule type="duplicateValues" dxfId="47" priority="50"/>
  </conditionalFormatting>
  <conditionalFormatting sqref="B125:C125">
    <cfRule type="duplicateValues" dxfId="46" priority="49"/>
  </conditionalFormatting>
  <conditionalFormatting sqref="B130:C130">
    <cfRule type="duplicateValues" dxfId="45" priority="48"/>
  </conditionalFormatting>
  <conditionalFormatting sqref="B142:C142">
    <cfRule type="duplicateValues" dxfId="44" priority="47"/>
  </conditionalFormatting>
  <conditionalFormatting sqref="B153:C153">
    <cfRule type="duplicateValues" dxfId="43" priority="46"/>
  </conditionalFormatting>
  <conditionalFormatting sqref="B172:C172">
    <cfRule type="duplicateValues" dxfId="42" priority="44"/>
  </conditionalFormatting>
  <conditionalFormatting sqref="B182:C182">
    <cfRule type="duplicateValues" dxfId="41" priority="43"/>
  </conditionalFormatting>
  <conditionalFormatting sqref="B198:C198">
    <cfRule type="duplicateValues" dxfId="40" priority="42"/>
  </conditionalFormatting>
  <conditionalFormatting sqref="B214:C214">
    <cfRule type="duplicateValues" dxfId="39" priority="41"/>
  </conditionalFormatting>
  <conditionalFormatting sqref="B234:C234">
    <cfRule type="duplicateValues" dxfId="38" priority="40"/>
  </conditionalFormatting>
  <conditionalFormatting sqref="B256:C256">
    <cfRule type="duplicateValues" dxfId="37" priority="39"/>
  </conditionalFormatting>
  <conditionalFormatting sqref="B270:C270">
    <cfRule type="duplicateValues" dxfId="36" priority="38"/>
  </conditionalFormatting>
  <conditionalFormatting sqref="B288:C288">
    <cfRule type="duplicateValues" dxfId="35" priority="37"/>
  </conditionalFormatting>
  <conditionalFormatting sqref="B297:C297">
    <cfRule type="duplicateValues" dxfId="34" priority="33"/>
  </conditionalFormatting>
  <conditionalFormatting sqref="B307:C308">
    <cfRule type="duplicateValues" dxfId="33" priority="31"/>
  </conditionalFormatting>
  <conditionalFormatting sqref="B310:C310">
    <cfRule type="duplicateValues" dxfId="32" priority="30"/>
  </conditionalFormatting>
  <conditionalFormatting sqref="B322:C322">
    <cfRule type="duplicateValues" dxfId="31" priority="29"/>
  </conditionalFormatting>
  <conditionalFormatting sqref="B326:C326">
    <cfRule type="duplicateValues" dxfId="30" priority="28"/>
  </conditionalFormatting>
  <conditionalFormatting sqref="B332:C332">
    <cfRule type="duplicateValues" dxfId="29" priority="27"/>
  </conditionalFormatting>
  <conditionalFormatting sqref="B344:C344">
    <cfRule type="duplicateValues" dxfId="28" priority="26"/>
  </conditionalFormatting>
  <conditionalFormatting sqref="B350:C350">
    <cfRule type="duplicateValues" dxfId="27" priority="25"/>
  </conditionalFormatting>
  <conditionalFormatting sqref="B355:C355">
    <cfRule type="duplicateValues" dxfId="26" priority="24"/>
  </conditionalFormatting>
  <conditionalFormatting sqref="B364:C364">
    <cfRule type="duplicateValues" dxfId="25" priority="23"/>
  </conditionalFormatting>
  <conditionalFormatting sqref="B380:C380">
    <cfRule type="duplicateValues" dxfId="24" priority="22"/>
  </conditionalFormatting>
  <conditionalFormatting sqref="B390:C390">
    <cfRule type="duplicateValues" dxfId="23" priority="21"/>
  </conditionalFormatting>
  <conditionalFormatting sqref="B395:C395">
    <cfRule type="duplicateValues" dxfId="22" priority="20"/>
  </conditionalFormatting>
  <conditionalFormatting sqref="B399:C399">
    <cfRule type="duplicateValues" dxfId="21" priority="19"/>
  </conditionalFormatting>
  <conditionalFormatting sqref="B409:C409">
    <cfRule type="duplicateValues" dxfId="20" priority="18"/>
  </conditionalFormatting>
  <conditionalFormatting sqref="B420:C420">
    <cfRule type="duplicateValues" dxfId="19" priority="17"/>
  </conditionalFormatting>
  <conditionalFormatting sqref="B425:C425">
    <cfRule type="duplicateValues" dxfId="18" priority="16"/>
  </conditionalFormatting>
  <conditionalFormatting sqref="B430:C430">
    <cfRule type="duplicateValues" dxfId="17" priority="15"/>
  </conditionalFormatting>
  <conditionalFormatting sqref="B447:C447">
    <cfRule type="duplicateValues" dxfId="16" priority="14"/>
  </conditionalFormatting>
  <conditionalFormatting sqref="B457:C457">
    <cfRule type="duplicateValues" dxfId="15" priority="13"/>
  </conditionalFormatting>
  <conditionalFormatting sqref="B464:C464">
    <cfRule type="duplicateValues" dxfId="14" priority="12"/>
  </conditionalFormatting>
  <conditionalFormatting sqref="B480:C480">
    <cfRule type="duplicateValues" dxfId="13" priority="11"/>
  </conditionalFormatting>
  <conditionalFormatting sqref="B491:C491">
    <cfRule type="duplicateValues" dxfId="12" priority="10"/>
  </conditionalFormatting>
  <conditionalFormatting sqref="B497:C497">
    <cfRule type="duplicateValues" dxfId="11" priority="9"/>
  </conditionalFormatting>
  <conditionalFormatting sqref="B506:C506">
    <cfRule type="duplicateValues" dxfId="10" priority="8"/>
  </conditionalFormatting>
  <conditionalFormatting sqref="B521:C521">
    <cfRule type="duplicateValues" dxfId="9" priority="7"/>
  </conditionalFormatting>
  <conditionalFormatting sqref="B531:C531">
    <cfRule type="duplicateValues" dxfId="8" priority="6"/>
  </conditionalFormatting>
  <conditionalFormatting sqref="B538:C538">
    <cfRule type="duplicateValues" dxfId="7" priority="5"/>
  </conditionalFormatting>
  <conditionalFormatting sqref="B547:C547">
    <cfRule type="duplicateValues" dxfId="6" priority="4"/>
  </conditionalFormatting>
  <conditionalFormatting sqref="B563:C563">
    <cfRule type="duplicateValues" dxfId="5" priority="3"/>
  </conditionalFormatting>
  <conditionalFormatting sqref="B572:C572">
    <cfRule type="duplicateValues" dxfId="4" priority="2"/>
  </conditionalFormatting>
  <conditionalFormatting sqref="B844:C845">
    <cfRule type="duplicateValues" dxfId="3" priority="34"/>
  </conditionalFormatting>
  <conditionalFormatting sqref="C161">
    <cfRule type="duplicateValues" dxfId="2" priority="45"/>
  </conditionalFormatting>
  <conditionalFormatting sqref="C303">
    <cfRule type="duplicateValues" dxfId="1" priority="1"/>
  </conditionalFormatting>
  <dataValidations count="2">
    <dataValidation type="list" allowBlank="1" showInputMessage="1" showErrorMessage="1" sqref="B303" xr:uid="{94BA69CA-B158-49C4-9132-93D3C3F54806}">
      <formula1>$B$304:$B$308</formula1>
    </dataValidation>
    <dataValidation type="list" allowBlank="1" showInputMessage="1" showErrorMessage="1" sqref="C303" xr:uid="{2C951860-59EC-4145-A615-7F0347B4A0C1}">
      <formula1>$C$304:$C$308</formula1>
    </dataValidation>
  </dataValidations>
  <hyperlinks>
    <hyperlink ref="C68" r:id="rId1" xr:uid="{D8E8874F-BE34-4C9E-BED6-95195D4DA229}"/>
    <hyperlink ref="C72" r:id="rId2" xr:uid="{DAA626A7-D77D-4DA5-B09F-344A44979719}"/>
    <hyperlink ref="C73" r:id="rId3" xr:uid="{F6858A0C-D20F-48A2-9610-99369BC272F2}"/>
    <hyperlink ref="C74" r:id="rId4" xr:uid="{6623B4E6-BA01-414C-88F3-92DDE70F2F99}"/>
    <hyperlink ref="C75" r:id="rId5" xr:uid="{295FB7FD-3DDE-447D-A1A8-70EF43BE8970}"/>
    <hyperlink ref="C69" r:id="rId6" xr:uid="{C5D1652A-F63A-46AD-BA12-74C6FA831471}"/>
    <hyperlink ref="C87" r:id="rId7" xr:uid="{72130FC3-DBB9-4C02-B399-FAE8CFBBDC51}"/>
    <hyperlink ref="C88" r:id="rId8" xr:uid="{9148A291-9B93-4E7C-B953-39B65D2B4FBB}"/>
    <hyperlink ref="C92" r:id="rId9" xr:uid="{9635AABD-0EC1-4409-B0E7-7C4D5CD5BAC9}"/>
    <hyperlink ref="C93" r:id="rId10" xr:uid="{2752A856-0ADC-4F66-AEB2-D9E567B6047C}"/>
    <hyperlink ref="C94" r:id="rId11" xr:uid="{807EE9B9-C363-4960-AEB1-70D72699D496}"/>
    <hyperlink ref="C95" r:id="rId12" xr:uid="{3F1CF711-ABFA-4EE8-A828-F2EE55B877D0}"/>
    <hyperlink ref="C96" r:id="rId13" xr:uid="{EE9E6600-FD3D-4A96-A7DC-5F20413993C8}"/>
    <hyperlink ref="C99" r:id="rId14" xr:uid="{ABBBA854-FA64-4261-ABF0-F9C074C9875D}"/>
    <hyperlink ref="C100" r:id="rId15" xr:uid="{6B30CF21-85C9-4E9D-8107-28948B519644}"/>
    <hyperlink ref="C76" r:id="rId16" xr:uid="{6CF6C456-EF18-4531-9F8A-598B03C6048F}"/>
    <hyperlink ref="C101" r:id="rId17" xr:uid="{75EDDBDC-F418-4166-B3D4-FCE659D23623}"/>
    <hyperlink ref="C102" r:id="rId18" xr:uid="{0A912591-E975-4A2E-9BD8-37E46A743C1E}"/>
    <hyperlink ref="C103" r:id="rId19" xr:uid="{D9675507-63A6-4C56-86F8-2F98F8DEF455}"/>
    <hyperlink ref="C104" r:id="rId20" xr:uid="{EF632F89-9D5A-4EE3-B568-F705226A72AC}"/>
    <hyperlink ref="C105" r:id="rId21" xr:uid="{8C846E8B-CA9B-4C4E-A1AC-2905AC8B0554}"/>
    <hyperlink ref="C106" r:id="rId22" xr:uid="{371A1D26-C235-4AD1-A7A0-B4D68B473098}"/>
    <hyperlink ref="C107" r:id="rId23" xr:uid="{F85ADBCC-DDDA-41FD-B738-C616F6C83D37}"/>
    <hyperlink ref="C108" r:id="rId24" xr:uid="{6AE0FCF6-80A7-4230-BD27-2EF284BFA87A}"/>
    <hyperlink ref="C77" r:id="rId25" xr:uid="{71630E36-6884-47DC-B30F-AF415F1BAF6B}"/>
    <hyperlink ref="C109" r:id="rId26" xr:uid="{1FC72E51-4F60-42C8-8317-86F73948D43F}"/>
    <hyperlink ref="C78" r:id="rId27" xr:uid="{2C598CD2-DEEB-4461-9F8E-2656DBBE7327}"/>
    <hyperlink ref="C116" r:id="rId28" xr:uid="{6F0696A0-4B82-4CC0-AADA-2123129DBAAA}"/>
    <hyperlink ref="C117" r:id="rId29" xr:uid="{5661E1F2-1521-4DFF-9827-22BC8D541C82}"/>
    <hyperlink ref="C118" r:id="rId30" xr:uid="{2FDDB896-4B05-47BB-8C2A-924B4FACC82E}"/>
    <hyperlink ref="C119" r:id="rId31" xr:uid="{38E290D5-C279-4B6A-810A-A5E4184E7834}"/>
    <hyperlink ref="C120" r:id="rId32" xr:uid="{18D32FD6-2CBC-496B-AF02-72AE2A3122C0}"/>
    <hyperlink ref="C126" r:id="rId33" xr:uid="{E776FC5D-B903-4C5F-A86A-0FF9B42B52D2}"/>
    <hyperlink ref="C127" r:id="rId34" xr:uid="{6EEA8D30-CE7D-49A8-B1D9-7F01AF78EA41}"/>
    <hyperlink ref="C128" r:id="rId35" xr:uid="{6E172189-B5CB-4E9A-9B6B-349CEFBDFBAF}"/>
    <hyperlink ref="C131" r:id="rId36" xr:uid="{936BC093-6431-4F02-A34A-9085C9073429}"/>
    <hyperlink ref="C132" r:id="rId37" xr:uid="{2BA9F128-4FB5-4080-84A5-64A1D4536A5B}"/>
    <hyperlink ref="C133" r:id="rId38" xr:uid="{F9C49BB7-0185-47CD-992E-0D873F319D01}"/>
    <hyperlink ref="C134" r:id="rId39" xr:uid="{879A6779-8AE9-4DF6-B99C-E90065D80F4F}"/>
    <hyperlink ref="C135" r:id="rId40" xr:uid="{9D8B892E-176F-43C9-B7A1-7C6CDBE495AC}"/>
    <hyperlink ref="C136" r:id="rId41" xr:uid="{8E45E909-BD5E-4C3C-8941-FBC07240E278}"/>
    <hyperlink ref="C137" r:id="rId42" xr:uid="{2C4A261C-940C-442C-9BE1-E445B5701032}"/>
    <hyperlink ref="C138" r:id="rId43" xr:uid="{AF9B65EF-F475-41EF-BE7F-848E2A57410B}"/>
    <hyperlink ref="C139" r:id="rId44" xr:uid="{0925B545-EB70-4F66-90DE-1DDA4EE7AEC4}"/>
    <hyperlink ref="C143" r:id="rId45" xr:uid="{32E6F31B-D948-4424-8E09-DBE618BBA8AA}"/>
    <hyperlink ref="C144" r:id="rId46" xr:uid="{D4553F23-BBA6-40E2-A251-ECBC942F9C26}"/>
    <hyperlink ref="C145" r:id="rId47" xr:uid="{4D22DCA4-52A7-4666-A5C0-F420611CD5CF}"/>
    <hyperlink ref="C146" r:id="rId48" xr:uid="{BEB67E40-5D2C-4F02-8B1F-760605D7853E}"/>
    <hyperlink ref="C147" r:id="rId49" xr:uid="{565600C3-4968-4932-B43D-3FDA8D7F856F}"/>
    <hyperlink ref="C148" r:id="rId50" xr:uid="{4BCA93F4-052B-42DA-9560-1B36977A82BD}"/>
    <hyperlink ref="C149" r:id="rId51" xr:uid="{29622051-FEB9-4B6F-9DF0-4F53E6E28233}"/>
    <hyperlink ref="C150" r:id="rId52" xr:uid="{AC999114-3C2A-4467-A072-1C5CB4561261}"/>
    <hyperlink ref="C151" r:id="rId53" xr:uid="{EA53A31C-AF38-4FBB-8B61-2FAD682AF8EC}"/>
    <hyperlink ref="C154" r:id="rId54" xr:uid="{573A3B0A-96B7-4BF6-9159-CA2B801E3DAC}"/>
    <hyperlink ref="C155" r:id="rId55" xr:uid="{1F3200F0-06FF-4677-8210-A3D7FC374820}"/>
    <hyperlink ref="C156" r:id="rId56" xr:uid="{AE8C43D8-7654-4770-87CD-E1A87DBFC809}"/>
    <hyperlink ref="C157" r:id="rId57" xr:uid="{1CBE78E7-CE49-4555-A3BF-D5824EDF95DC}"/>
    <hyperlink ref="C158" r:id="rId58" xr:uid="{2EE9CA9B-E5FF-4BDF-B7AA-47992439F557}"/>
    <hyperlink ref="C162" r:id="rId59" xr:uid="{266CBC03-4988-44A2-84D8-BF70FD67115E}"/>
    <hyperlink ref="C163" r:id="rId60" xr:uid="{8476EBAB-A0BF-469C-BA7F-DC67C0123870}"/>
    <hyperlink ref="C164" r:id="rId61" xr:uid="{FFAE942A-E4EA-4D99-8CCE-F8B10221A96E}"/>
    <hyperlink ref="C165" r:id="rId62" xr:uid="{1D6664C1-789B-4B39-9CB2-DCDF09DCCD69}"/>
    <hyperlink ref="C166" r:id="rId63" xr:uid="{4AE00CAF-EA0C-432D-A8F2-018D9D2887F7}"/>
    <hyperlink ref="C167" r:id="rId64" xr:uid="{7A4336C0-D43C-4C96-A243-CE0C27143C18}"/>
    <hyperlink ref="C168" r:id="rId65" xr:uid="{9FB97FE8-78DC-483D-8E20-95EBC5127F1B}"/>
    <hyperlink ref="C173" r:id="rId66" xr:uid="{6E5F7F20-467E-4606-B677-E9CB6D029362}"/>
    <hyperlink ref="C174" r:id="rId67" xr:uid="{F977C539-71D4-4394-A230-5D38DF87A9CD}"/>
    <hyperlink ref="C175" r:id="rId68" xr:uid="{3588B88C-2948-4A29-820D-9D844145605E}"/>
    <hyperlink ref="C176" r:id="rId69" xr:uid="{A01E5F38-3521-4803-8C5B-20B2F1BF8773}"/>
    <hyperlink ref="C177" r:id="rId70" xr:uid="{59B7C0A1-11BC-4C5E-92D5-609E95EAC3E2}"/>
    <hyperlink ref="C178" r:id="rId71" xr:uid="{80ADC34E-F1A3-43A2-8891-06DE9779FD6A}"/>
    <hyperlink ref="C179" r:id="rId72" xr:uid="{CCB29AB7-7D2C-4658-A958-4E546729A3BE}"/>
    <hyperlink ref="C180" r:id="rId73" xr:uid="{CE7A615D-98F4-47E3-8C11-5CB7D3CA5328}"/>
    <hyperlink ref="C183" r:id="rId74" xr:uid="{0495C9DB-53DA-45F6-90CE-715AC8045E21}"/>
    <hyperlink ref="C184" r:id="rId75" xr:uid="{2DA8BF06-BCFF-4F19-B731-7B2505DA03BF}"/>
    <hyperlink ref="C185" r:id="rId76" xr:uid="{56832E76-A653-46C5-88F3-254CE70EA6C9}"/>
    <hyperlink ref="C186" r:id="rId77" xr:uid="{EF656AB1-482A-4EE5-9032-BF83D994FE2D}"/>
    <hyperlink ref="C187" r:id="rId78" xr:uid="{349A5839-92F0-4A7A-8164-D2A722FD10FB}"/>
    <hyperlink ref="C188" r:id="rId79" xr:uid="{4F60F933-FA70-4AF8-A5C2-F3BD160C4FC8}"/>
    <hyperlink ref="C189" r:id="rId80" xr:uid="{57A04985-85F9-49F3-BC2B-7C122FC74F81}"/>
    <hyperlink ref="C190" r:id="rId81" xr:uid="{E581BDE6-37E7-4EA0-B03D-C039964A6167}"/>
    <hyperlink ref="C191" r:id="rId82" xr:uid="{AC0CA996-139B-4DB6-B377-B8E84201E315}"/>
    <hyperlink ref="C192" r:id="rId83" xr:uid="{9F648633-7401-406F-9DD0-10E4BDA6A29E}"/>
    <hyperlink ref="C193" r:id="rId84" xr:uid="{C6E34481-7D2D-4742-A66F-814637513919}"/>
    <hyperlink ref="C194" r:id="rId85" xr:uid="{1549DA76-36E5-443B-88E0-801EF231E8F5}"/>
    <hyperlink ref="C195" r:id="rId86" xr:uid="{B175F823-4E07-43A9-BBFA-DA32C57FE292}"/>
    <hyperlink ref="C196" r:id="rId87" xr:uid="{CBE1FD5A-7F2E-4736-B95B-57B29338CD87}"/>
    <hyperlink ref="C199" r:id="rId88" xr:uid="{EDB7AEE2-2F94-4EDF-966B-AE238D0DB08E}"/>
    <hyperlink ref="C200" r:id="rId89" xr:uid="{A238F767-8CB1-41AF-8D1B-C07B386D62B0}"/>
    <hyperlink ref="C201" r:id="rId90" xr:uid="{8B464464-86FE-4E4F-A6F1-1DDAA535B31F}"/>
    <hyperlink ref="C202" r:id="rId91" xr:uid="{8095CF37-0999-493A-B014-954AB137D2D5}"/>
    <hyperlink ref="C203" r:id="rId92" xr:uid="{3A2555AF-576F-47C0-BFBE-C724A0C08968}"/>
    <hyperlink ref="C204" r:id="rId93" xr:uid="{C91948F1-0DD5-44A0-874D-9B01BE195570}"/>
    <hyperlink ref="C205" r:id="rId94" xr:uid="{02FB3B07-A7AF-4701-9D3C-C8FD331CF4A0}"/>
    <hyperlink ref="C206" r:id="rId95" xr:uid="{5D2406EC-9A6E-4278-82E3-F99148805E41}"/>
    <hyperlink ref="C207" r:id="rId96" xr:uid="{6541B979-C971-4592-B148-18C9B5E9BDF8}"/>
    <hyperlink ref="C208" r:id="rId97" xr:uid="{190B12D1-B012-4B2A-898D-DC9E680A506D}"/>
    <hyperlink ref="C209" r:id="rId98" xr:uid="{7D1D096B-6597-4E20-8364-968DFE5CA8EB}"/>
    <hyperlink ref="C210" r:id="rId99" xr:uid="{8469761B-ED1E-4556-A4F5-1EF8E262B564}"/>
    <hyperlink ref="C211" r:id="rId100" xr:uid="{1CB26977-1608-4716-A64F-4ECFA03F7948}"/>
    <hyperlink ref="C212" r:id="rId101" xr:uid="{7E70565A-B5E1-4EC2-95F9-E527DE6BBA81}"/>
    <hyperlink ref="C215" r:id="rId102" xr:uid="{2442DE6E-8EC8-4F1D-9B7A-E6DAF725028D}"/>
    <hyperlink ref="C216" r:id="rId103" xr:uid="{A8BACCEE-CC40-4A33-BA64-F699A920999D}"/>
    <hyperlink ref="C217" r:id="rId104" xr:uid="{67D5E9E2-258D-4FC8-B708-7BC7FB853F31}"/>
    <hyperlink ref="C218" r:id="rId105" xr:uid="{82D69CDC-E9FE-448D-9C7F-B8B872DC925E}"/>
    <hyperlink ref="C219" r:id="rId106" xr:uid="{E0DA495B-5A54-4B29-9B5B-1EA3ECB4E305}"/>
    <hyperlink ref="C220" r:id="rId107" xr:uid="{9B81EC8B-6610-4020-980D-361E0F89076E}"/>
    <hyperlink ref="C221" r:id="rId108" xr:uid="{57B918D9-B475-437D-ABFF-5431D760CD3C}"/>
    <hyperlink ref="C222" r:id="rId109" xr:uid="{BC2C9E7F-5FE6-49C2-9E23-9359319521E1}"/>
    <hyperlink ref="C223" r:id="rId110" xr:uid="{D3BED275-F009-4082-B791-A77E4C0C6D07}"/>
    <hyperlink ref="C224" r:id="rId111" xr:uid="{C851F4B0-F90C-4BA2-A93A-2D9386639E28}"/>
    <hyperlink ref="C225" r:id="rId112" xr:uid="{EF3B252D-842E-42EF-8388-CF0F095EAAF5}"/>
    <hyperlink ref="C226" r:id="rId113" xr:uid="{51300BCA-9D8F-4504-B24D-1897648D0EE1}"/>
    <hyperlink ref="C227" r:id="rId114" xr:uid="{1157F655-BD66-48FD-A7C1-C74815C1766D}"/>
    <hyperlink ref="C228" r:id="rId115" xr:uid="{41D61321-8BF9-43F4-916A-219B02A4F34F}"/>
    <hyperlink ref="C229" r:id="rId116" xr:uid="{65F08BA7-4D4D-4794-BF92-40D5E3DEAD32}"/>
    <hyperlink ref="C230" r:id="rId117" xr:uid="{779631FF-1C03-4FC9-9B55-FAE557179DF0}"/>
    <hyperlink ref="C231" r:id="rId118" xr:uid="{BE73C39E-799B-4B55-8580-36B256306112}"/>
    <hyperlink ref="C235" r:id="rId119" xr:uid="{1217AA0F-5D56-4D5F-82E8-07F303D6E033}"/>
    <hyperlink ref="C236" r:id="rId120" xr:uid="{145A51AF-5460-4AA8-A926-B29429D10848}"/>
    <hyperlink ref="C237" r:id="rId121" xr:uid="{6CC97550-7A2B-4668-873B-8AE7ECA43D54}"/>
    <hyperlink ref="C238" r:id="rId122" xr:uid="{87CAED8C-A2D5-475D-B957-81BE9C78C661}"/>
    <hyperlink ref="C239" r:id="rId123" xr:uid="{F2E541A9-015B-407B-845A-B7E701EE9588}"/>
    <hyperlink ref="C240" r:id="rId124" xr:uid="{6DEBF3C2-7F03-4BF7-A642-8FDE11A9288A}"/>
    <hyperlink ref="C241" r:id="rId125" xr:uid="{8D06A8F3-8121-4040-AB4E-67FC16751EDE}"/>
    <hyperlink ref="C242" r:id="rId126" xr:uid="{209D7137-93BC-401D-A264-0DED494CA4CE}"/>
    <hyperlink ref="C243" r:id="rId127" xr:uid="{3717DC4C-E1AA-486F-9A28-16EA0524B192}"/>
    <hyperlink ref="C244" r:id="rId128" xr:uid="{5EA08066-515B-4E3D-82AC-DBDD544E170F}"/>
    <hyperlink ref="C245" r:id="rId129" xr:uid="{34F8F6E4-CE0F-4FD0-92DF-83F2A53E528A}"/>
    <hyperlink ref="C246" r:id="rId130" xr:uid="{919506A8-8FDD-442C-9A9D-55BC12607236}"/>
    <hyperlink ref="C247" r:id="rId131" xr:uid="{B3B247F9-6CAB-453E-99E4-1E9889822F7C}"/>
    <hyperlink ref="C248" r:id="rId132" xr:uid="{46B1E9F1-8042-4E21-9B39-7DA8EE52A94A}"/>
    <hyperlink ref="C249" r:id="rId133" xr:uid="{E0052DCC-F58F-46AF-B5B5-E97792263345}"/>
    <hyperlink ref="C250" r:id="rId134" xr:uid="{FFC16885-6B78-44A4-87B1-B035E2E85E79}"/>
    <hyperlink ref="C251" r:id="rId135" xr:uid="{4748A210-0768-4ABD-AF4D-887BF3A64622}"/>
    <hyperlink ref="C257" r:id="rId136" xr:uid="{80AEC11C-9756-46E0-BAF6-614A5864B658}"/>
    <hyperlink ref="C258" r:id="rId137" xr:uid="{236CFE42-DC3C-47AF-A1A9-6D0BFAE9B469}"/>
    <hyperlink ref="C259" r:id="rId138" xr:uid="{AC2FAAE4-0FFC-4D04-970D-786192153EDD}"/>
    <hyperlink ref="C260" r:id="rId139" xr:uid="{11E1F30F-BECE-46EC-B19B-7B984F31EEC2}"/>
    <hyperlink ref="C261" r:id="rId140" xr:uid="{7632674A-26C6-4E4E-957D-002B3E0D8BFD}"/>
    <hyperlink ref="C262" r:id="rId141" xr:uid="{67DF876B-1E2B-4D57-9C36-7C36A56F6CA6}"/>
    <hyperlink ref="C263" r:id="rId142" xr:uid="{D5DBBE6E-59C7-4BC7-80CE-D2507F52976A}"/>
    <hyperlink ref="C264" r:id="rId143" xr:uid="{D04E9A98-90D7-43B9-BFD1-1F34DC395838}"/>
    <hyperlink ref="C265" r:id="rId144" xr:uid="{766B96A7-8E28-4B37-9E5B-C2EDCBC6965B}"/>
    <hyperlink ref="C266" r:id="rId145" xr:uid="{3646125A-5B4E-4087-868B-C1A40E637E92}"/>
    <hyperlink ref="C267" r:id="rId146" xr:uid="{A9719F58-010F-4A48-8BF7-F6A4C9585331}"/>
    <hyperlink ref="C268" r:id="rId147" xr:uid="{2FF977F1-4579-4992-B79A-85185363BA80}"/>
    <hyperlink ref="C273" r:id="rId148" xr:uid="{F6A83028-35D3-402D-B785-BB59304E3D9C}"/>
    <hyperlink ref="C278" r:id="rId149" xr:uid="{CB66E8FF-E8FF-4B8F-9FB1-09EF77CEBDF9}"/>
    <hyperlink ref="C276" r:id="rId150" xr:uid="{8501D141-DF8A-44DD-980D-32682DE2D514}"/>
    <hyperlink ref="C279" r:id="rId151" xr:uid="{97470A1B-C19E-48ED-AFA2-7977C9031BE0}"/>
    <hyperlink ref="C274" r:id="rId152" xr:uid="{6CEDF9AF-AD3F-4BEE-A856-B06C30BF903C}"/>
    <hyperlink ref="C271" r:id="rId153" xr:uid="{5E5557B0-C7DC-45AD-BA1C-D201D97B47BB}"/>
    <hyperlink ref="C272" r:id="rId154" xr:uid="{F442012E-FA41-47B4-8A98-0E198911CFC1}"/>
    <hyperlink ref="C277" r:id="rId155" xr:uid="{5DB45359-4C37-47E3-A1B7-52BDB4E28C77}"/>
    <hyperlink ref="C289" r:id="rId156" xr:uid="{B44F61F1-F2B3-48EB-950C-ABD0399DCF49}"/>
    <hyperlink ref="C290" r:id="rId157" xr:uid="{67BA776E-1162-4387-8CD5-852EA932A027}"/>
    <hyperlink ref="C291" r:id="rId158" xr:uid="{D2B01038-E993-4E1B-92A4-6BB871A7B126}"/>
    <hyperlink ref="C292" r:id="rId159" xr:uid="{B40556AB-386E-48B7-875F-B0517563AD2E}"/>
    <hyperlink ref="C293" r:id="rId160" xr:uid="{3DA5A18F-3C1C-4846-8F88-0CD084B9DC63}"/>
    <hyperlink ref="C642" r:id="rId161" xr:uid="{C6914248-F90C-4A9F-88B4-9CCAC9BC4423}"/>
    <hyperlink ref="C647" r:id="rId162" xr:uid="{CBA4F4CA-73D0-4750-B441-C26858F65F07}"/>
    <hyperlink ref="C645" r:id="rId163" xr:uid="{F880753D-921D-42C0-8EC6-78AC79827B84}"/>
    <hyperlink ref="C648" r:id="rId164" xr:uid="{C9D772F3-4BAE-4A99-AC5C-77818667C44A}"/>
    <hyperlink ref="C643" r:id="rId165" xr:uid="{E9A894F9-4BB7-4221-936C-65B13B8739A3}"/>
    <hyperlink ref="C640" r:id="rId166" xr:uid="{418C4FF7-F92E-4036-85B1-592EF88C4564}"/>
    <hyperlink ref="C641" r:id="rId167" xr:uid="{7CC00627-38BF-4820-8468-657F479372AE}"/>
    <hyperlink ref="C646" r:id="rId168" xr:uid="{0546BB20-7305-409B-8549-5C417E37FB7E}"/>
    <hyperlink ref="C663" r:id="rId169" xr:uid="{C88D59C0-5803-4FF7-87F4-FC6F4E4D479D}"/>
    <hyperlink ref="C665" r:id="rId170" xr:uid="{1333B109-FE97-4911-B5F6-ADBF5C56D105}"/>
    <hyperlink ref="C666" r:id="rId171" xr:uid="{9D061A92-7F43-4B29-A9E6-9E7A77080A48}"/>
    <hyperlink ref="C667" r:id="rId172" xr:uid="{6B4B4D16-B3F4-4A60-81DB-52597CC82392}"/>
    <hyperlink ref="C668" r:id="rId173" xr:uid="{FEE8F8EB-5158-4A0F-A33F-7F10EAA9697F}"/>
    <hyperlink ref="C669" r:id="rId174" xr:uid="{F3921793-D473-4D5B-8BA9-0C1083A25C41}"/>
    <hyperlink ref="C670" r:id="rId175" xr:uid="{BAA5E987-29E7-471B-BEFE-232EA5724841}"/>
    <hyperlink ref="C671" r:id="rId176" xr:uid="{D0B2E70E-A53D-4DC1-9871-49D8F8DAD195}"/>
    <hyperlink ref="C673" r:id="rId177" xr:uid="{D341FE8C-0C69-4C24-8965-3EAE1EDDD871}"/>
    <hyperlink ref="C674" r:id="rId178" xr:uid="{04396343-9739-4D54-88CA-1E11E59B4F3F}"/>
    <hyperlink ref="C675" r:id="rId179" xr:uid="{553305E5-7FCB-4F93-997A-0FCCD753673E}"/>
    <hyperlink ref="C676" r:id="rId180" xr:uid="{D9383ADC-0103-4A65-98F4-2AA91951BE2E}"/>
    <hyperlink ref="C677" r:id="rId181" xr:uid="{409A89EA-F401-49C4-9BFB-DE39E1838FE7}"/>
    <hyperlink ref="C678" r:id="rId182" xr:uid="{7D8B8EA8-7082-4B37-8C55-7837D5EBB667}"/>
    <hyperlink ref="C679" r:id="rId183" xr:uid="{577EE32B-18A9-4D5F-97EF-E3454F3FB030}"/>
    <hyperlink ref="C680" r:id="rId184" xr:uid="{344EE8B7-23F6-4B72-BE4F-06D39330785D}"/>
    <hyperlink ref="C682" r:id="rId185" xr:uid="{BB5053BB-700A-4691-9275-85F2F214F343}"/>
    <hyperlink ref="C687" r:id="rId186" xr:uid="{1973ABFD-EBA9-41D7-939F-6D13375E1E93}"/>
    <hyperlink ref="C688" r:id="rId187" xr:uid="{776BD499-9ED8-4431-85DB-45E5809B6917}"/>
    <hyperlink ref="C689" r:id="rId188" xr:uid="{248531F8-0ED4-42BE-970F-8BA8D484B0C7}"/>
    <hyperlink ref="C690" r:id="rId189" xr:uid="{43605D4C-CF98-4B2A-934E-0BC2119E1D4F}"/>
    <hyperlink ref="C691" r:id="rId190" xr:uid="{ACEEC646-B73B-4324-9CED-716C55E6245D}"/>
    <hyperlink ref="C695" r:id="rId191" xr:uid="{B344EDAC-2720-4A73-897D-79431809E4F7}"/>
    <hyperlink ref="C696" r:id="rId192" xr:uid="{BC90AE70-B360-443D-B967-06D5FAB4E5D1}"/>
    <hyperlink ref="C697" r:id="rId193" xr:uid="{D96F33D9-3867-4424-99D0-FBD66275C339}"/>
    <hyperlink ref="C698" r:id="rId194" xr:uid="{E1499284-3105-4070-BC0B-35AF5EA37755}"/>
    <hyperlink ref="C699" r:id="rId195" xr:uid="{4ECA7475-47B1-419B-ABD5-5E51628536C8}"/>
    <hyperlink ref="C700" r:id="rId196" xr:uid="{AF42BEFE-B5F7-4852-9999-EF8847D35F3D}"/>
    <hyperlink ref="C701" r:id="rId197" xr:uid="{1CD8996B-4BFE-4FAE-AE6A-D446AA1D7247}"/>
    <hyperlink ref="C702" r:id="rId198" xr:uid="{06D79FC5-47E3-44E8-B973-4C67CD1C3AEC}"/>
    <hyperlink ref="C703" r:id="rId199" xr:uid="{D9B90BC8-3782-4C2E-BF62-DD1E4359F40C}"/>
    <hyperlink ref="C704" r:id="rId200" xr:uid="{73AE6DCD-0DAA-4F1A-A6DC-0AD3B35FC97B}"/>
    <hyperlink ref="C705" r:id="rId201" xr:uid="{FEBE63F2-240D-4037-BDDF-0897273237BA}"/>
    <hyperlink ref="C706" r:id="rId202" xr:uid="{E4155E29-65EF-452C-A3D4-044F732D11A6}"/>
    <hyperlink ref="C707" r:id="rId203" xr:uid="{353F0199-CEFF-4DD1-A38A-3D19A9831190}"/>
    <hyperlink ref="C708" r:id="rId204" xr:uid="{7C0C48D7-93BA-4A4E-A5DA-A671172BBCA1}"/>
    <hyperlink ref="C709" r:id="rId205" xr:uid="{1A07022E-8B13-4BA0-B7B7-4417350FDDA4}"/>
    <hyperlink ref="C710" r:id="rId206" xr:uid="{3B1C2FA4-562C-4E99-B93F-67B0D9BE2889}"/>
    <hyperlink ref="C711" r:id="rId207" xr:uid="{00898DC8-042C-449A-867D-7B0B3B1E5A8C}"/>
    <hyperlink ref="C712" r:id="rId208" xr:uid="{AC036123-E90B-476C-842A-0B27A7A5BA28}"/>
    <hyperlink ref="C713" r:id="rId209" xr:uid="{B428C7B9-0642-42DD-9313-D9202AE925E3}"/>
    <hyperlink ref="C715" r:id="rId210" xr:uid="{5151AEDB-8E8F-4912-AE48-C33C3B80CC12}"/>
    <hyperlink ref="C716" r:id="rId211" xr:uid="{140736A0-8142-4E26-AC59-8D80109240FB}"/>
    <hyperlink ref="C717" r:id="rId212" xr:uid="{09AAC841-AF23-4F79-8453-1B897647D176}"/>
    <hyperlink ref="C718" r:id="rId213" xr:uid="{933D8C6C-4E78-4008-B2F7-1ACCF1EE9830}"/>
    <hyperlink ref="C719" r:id="rId214" xr:uid="{08F3018A-21E5-47F0-BE0D-8653503C280B}"/>
    <hyperlink ref="C720" r:id="rId215" xr:uid="{0BA44B79-86BD-436C-B52B-983A333A36EF}"/>
    <hyperlink ref="C721" r:id="rId216" xr:uid="{D77F2080-EFE1-41D6-8A90-AE3A5B74FE36}"/>
    <hyperlink ref="C722" r:id="rId217" xr:uid="{2B71E4EC-A6E5-4D8F-BC35-A2F4BF2BC401}"/>
    <hyperlink ref="C723" r:id="rId218" xr:uid="{ED399A95-A221-4206-80CA-BDA0583AAB5C}"/>
    <hyperlink ref="C724" r:id="rId219" xr:uid="{BC48B1B3-BE2E-42B1-A1A8-FF9BB0359F3F}"/>
    <hyperlink ref="C725" r:id="rId220" xr:uid="{DF6534DA-9D03-4A01-AEC3-F96556B4451B}"/>
    <hyperlink ref="C726" r:id="rId221" xr:uid="{26DABE13-9CA0-484E-A3F4-E0F2541F8367}"/>
    <hyperlink ref="C727" r:id="rId222" xr:uid="{D8668BC3-9DE9-400A-8CBF-F60E3A551F5B}"/>
    <hyperlink ref="C729" r:id="rId223" xr:uid="{51134E3B-A454-4A18-A79D-AB2C1A3DB479}"/>
    <hyperlink ref="C730" r:id="rId224" xr:uid="{665EF34F-2394-4B2A-8B5A-2FBD69BEEDB8}"/>
    <hyperlink ref="C731" r:id="rId225" xr:uid="{3F9C4B87-9AA5-4227-AC30-44F47C88FAA1}"/>
    <hyperlink ref="C732" r:id="rId226" xr:uid="{0E4B786E-DCC1-4318-B5E0-D4726920856E}"/>
    <hyperlink ref="C733" r:id="rId227" xr:uid="{69656779-3E48-47F5-96B7-C415C6C2ADDC}"/>
    <hyperlink ref="C734" r:id="rId228" xr:uid="{5B2438E3-73B2-4259-BAD4-013146587734}"/>
    <hyperlink ref="C735" r:id="rId229" xr:uid="{3EA1A261-D7FD-4552-A2ED-AF4BF1A2B439}"/>
    <hyperlink ref="C736" r:id="rId230" xr:uid="{E9B2EF1A-C7A9-4E82-9913-392D2A662DFF}"/>
    <hyperlink ref="C738" r:id="rId231" xr:uid="{984B4A94-2707-43C7-83ED-DB01901C89C6}"/>
    <hyperlink ref="C739" r:id="rId232" xr:uid="{2F2358A2-7581-4875-B82D-F3C4512FAF68}"/>
    <hyperlink ref="C740" r:id="rId233" xr:uid="{6AF404C6-7541-4F0C-BC10-45995C27B267}"/>
    <hyperlink ref="C741" r:id="rId234" xr:uid="{D230A298-235D-4B4C-ACDA-20E17345DA03}"/>
    <hyperlink ref="C742" r:id="rId235" xr:uid="{0A530708-570B-4FCE-B596-541E9020216D}"/>
    <hyperlink ref="C743" r:id="rId236" xr:uid="{6C4C843E-012A-41AD-99C6-6E742F571ED4}"/>
    <hyperlink ref="C744" r:id="rId237" xr:uid="{CD044D7C-46C2-4A4B-AA39-CD471BEE14E4}"/>
    <hyperlink ref="C745" r:id="rId238" xr:uid="{AE51D796-4E78-4DDE-8831-3694F3C772CF}"/>
    <hyperlink ref="C746" r:id="rId239" xr:uid="{A10A0EBA-AF02-4445-9F40-BCF7596A6F04}"/>
    <hyperlink ref="C747" r:id="rId240" xr:uid="{0EDB98B5-B076-4ECF-B420-9812680C9998}"/>
    <hyperlink ref="C748" r:id="rId241" xr:uid="{A1141BD3-5F08-4CCB-9708-EC4E75A1B551}"/>
    <hyperlink ref="C749" r:id="rId242" xr:uid="{85A4E4F4-E4FF-4EAA-881C-E4B4D3B5B4B0}"/>
    <hyperlink ref="C750" r:id="rId243" xr:uid="{B7FE1914-A3F9-4304-8867-747667781EB7}"/>
    <hyperlink ref="C751" r:id="rId244" xr:uid="{914E4C56-9EC7-4AD3-9101-BEA54203080D}"/>
    <hyperlink ref="C752" r:id="rId245" xr:uid="{A7FAF9F7-425E-4839-961F-E36A00222C66}"/>
    <hyperlink ref="C753" r:id="rId246" xr:uid="{72E083F8-910C-4B43-8515-6F8B0A894344}"/>
    <hyperlink ref="C754" r:id="rId247" xr:uid="{2B260A70-0A6C-43A0-B986-3447E3CF5AD8}"/>
    <hyperlink ref="C755" r:id="rId248" xr:uid="{042AD1E2-2281-4C9D-9BDD-D0B84ABC260C}"/>
    <hyperlink ref="C756" r:id="rId249" xr:uid="{7A4F3226-7313-4D59-8B68-AD1080BC1855}"/>
    <hyperlink ref="C757" r:id="rId250" xr:uid="{C1D0BFB4-3350-4933-80E0-15A47CD27441}"/>
    <hyperlink ref="C758" r:id="rId251" xr:uid="{890FB736-B1D6-4AC4-89F3-D57E320F8C9D}"/>
    <hyperlink ref="C759" r:id="rId252" xr:uid="{98DDEE6D-D879-4C16-A2B5-6B7EECEC2223}"/>
    <hyperlink ref="C760" r:id="rId253" xr:uid="{172D0CB8-33D0-47E6-B84D-54C18C41B3EC}"/>
    <hyperlink ref="C761" r:id="rId254" xr:uid="{FF5B7DF3-0EBB-4139-BFA9-20278287DA0F}"/>
    <hyperlink ref="C762" r:id="rId255" xr:uid="{741738EF-916B-4474-B62D-4628DCB45144}"/>
    <hyperlink ref="C763" r:id="rId256" xr:uid="{311B770C-BFEF-437C-9A0C-E335B434F8FD}"/>
    <hyperlink ref="C764" r:id="rId257" xr:uid="{5BC2C177-F23D-41FA-A84D-946925F18C9E}"/>
    <hyperlink ref="C765" r:id="rId258" xr:uid="{CCF45560-92E3-44C1-BD3E-83B269DAF196}"/>
    <hyperlink ref="C766" r:id="rId259" xr:uid="{D128B722-40A7-446D-BA78-D85BCDE28C57}"/>
    <hyperlink ref="C767" r:id="rId260" xr:uid="{FFF95414-3FF1-45B3-B6FE-5F016B60FA6C}"/>
    <hyperlink ref="C768" r:id="rId261" xr:uid="{4C2C3A1B-7ED0-4F58-8FCE-E355B1CCD1A4}"/>
    <hyperlink ref="C769" r:id="rId262" xr:uid="{1445260E-AAE6-418E-A7CC-4FF06FB133CA}"/>
    <hyperlink ref="C770" r:id="rId263" xr:uid="{D20640FD-926A-4520-B77D-754AD8C33B12}"/>
    <hyperlink ref="C771" r:id="rId264" xr:uid="{2FB3162C-66DE-4EC0-AF6D-B1E39FB83295}"/>
    <hyperlink ref="C772" r:id="rId265" xr:uid="{25AA26F6-FC20-4FEF-9E16-13FC1CB2332B}"/>
    <hyperlink ref="C773" r:id="rId266" xr:uid="{F7164D7F-24C7-4598-B5F3-DDF063883B49}"/>
    <hyperlink ref="C774" r:id="rId267" xr:uid="{65F91D7E-3A15-48FB-B7EF-ED39D31898C9}"/>
    <hyperlink ref="C775" r:id="rId268" xr:uid="{62B27C39-3B0D-4D71-8BE7-5E9C59D18F6E}"/>
    <hyperlink ref="C776" r:id="rId269" xr:uid="{7C221AD6-C5D8-4A36-842D-6C94A8B2F32E}"/>
    <hyperlink ref="C777" r:id="rId270" xr:uid="{5568BE03-170D-495D-940E-60F0DDF6C1D5}"/>
    <hyperlink ref="C778" r:id="rId271" xr:uid="{B2645FF9-FD05-4596-9DA3-3456066B5ED1}"/>
    <hyperlink ref="C779" r:id="rId272" xr:uid="{55B55F10-447B-4B73-8626-D7991B096705}"/>
    <hyperlink ref="C780" r:id="rId273" xr:uid="{2DAFDAF3-E248-4830-93BF-6C6AE3C01B4F}"/>
    <hyperlink ref="C781" r:id="rId274" xr:uid="{2E85A1DD-2707-4121-8AA5-3A41BDA415BC}"/>
    <hyperlink ref="C782" r:id="rId275" xr:uid="{FA46C34A-E202-42FF-B3BC-77465B092079}"/>
    <hyperlink ref="C783" r:id="rId276" xr:uid="{B7CD8614-3226-4945-B609-D92EDE51291D}"/>
    <hyperlink ref="C784" r:id="rId277" xr:uid="{E4A50CF2-9D57-43C4-B657-79C9F74122F8}"/>
    <hyperlink ref="C785" r:id="rId278" xr:uid="{52E4E4B2-EF48-4759-9F46-0A327B56745E}"/>
    <hyperlink ref="C786" r:id="rId279" xr:uid="{77916DCC-813D-4567-A1A3-B11657F35798}"/>
    <hyperlink ref="C787" r:id="rId280" xr:uid="{9966F8E3-081E-41FC-8865-8F45BBC0F8D3}"/>
    <hyperlink ref="C788" r:id="rId281" xr:uid="{C649995E-E235-45EE-B61A-2AB9F35EEC1A}"/>
    <hyperlink ref="C789" r:id="rId282" xr:uid="{BFAF2959-C45D-4187-A332-701D9523383E}"/>
    <hyperlink ref="C790" r:id="rId283" xr:uid="{42738967-A880-4EAB-BD5F-04132E3685DC}"/>
    <hyperlink ref="C792" r:id="rId284" xr:uid="{99B4C7F8-FDA2-4C67-9439-F1762AEEC39D}"/>
    <hyperlink ref="C793" r:id="rId285" xr:uid="{B7A1ABCA-040F-4EA8-9B42-DC4CC7BD0345}"/>
    <hyperlink ref="C794" r:id="rId286" xr:uid="{30BFDFC0-9AD5-4FCC-9DD3-2045CD65759D}"/>
    <hyperlink ref="C795" r:id="rId287" xr:uid="{B3EE00DB-F6C9-4C7A-BF14-C4B6C60D4547}"/>
    <hyperlink ref="C796" r:id="rId288" xr:uid="{CAA2380F-4FBC-44B2-B056-C63B0C0D68F3}"/>
    <hyperlink ref="C797" r:id="rId289" xr:uid="{BA65629F-D99E-466D-9A38-DD10A98D466F}"/>
    <hyperlink ref="C798" r:id="rId290" xr:uid="{76B8DFC4-DCC2-4F0A-8093-0471DE1E35DA}"/>
    <hyperlink ref="C799" r:id="rId291" xr:uid="{25FB59A8-9C06-488E-B22D-684572B52DD4}"/>
    <hyperlink ref="C800" r:id="rId292" xr:uid="{9A9A8193-754D-4EF2-9A52-CC90B74F9C8B}"/>
    <hyperlink ref="C801" r:id="rId293" xr:uid="{75B4B652-F365-4623-84D9-B5BD81C76644}"/>
    <hyperlink ref="C802" r:id="rId294" xr:uid="{59DC405F-B202-4FF0-9C20-B8157F3D698C}"/>
    <hyperlink ref="C803" r:id="rId295" xr:uid="{9242519A-8243-496B-B88E-B2107BEB1FB6}"/>
    <hyperlink ref="C804" r:id="rId296" xr:uid="{4C4E34FC-EF2B-47E8-AAFF-C1EEBEDBFF66}"/>
    <hyperlink ref="C805" r:id="rId297" xr:uid="{C512749F-9EB7-4E60-9F1D-71B9826BC0FE}"/>
    <hyperlink ref="C806" r:id="rId298" xr:uid="{4DC65423-0403-439E-BDB4-4FA68DACF7AB}"/>
    <hyperlink ref="C807" r:id="rId299" xr:uid="{9154D0BE-E784-4E4E-B980-26A4C676F916}"/>
    <hyperlink ref="C809" r:id="rId300" xr:uid="{82EF4550-1AAE-4E79-884F-BFDAEB68C216}"/>
    <hyperlink ref="C825" r:id="rId301" xr:uid="{C43477FD-2E4A-4A3A-BC1E-988C75AA1D4B}"/>
    <hyperlink ref="C826" r:id="rId302" xr:uid="{683A8A1C-DE04-4664-86FF-AB26866886DB}"/>
    <hyperlink ref="C827" r:id="rId303" xr:uid="{B09317FE-0E1E-4DF6-8FA0-70F9A6A3FC05}"/>
    <hyperlink ref="C828" r:id="rId304" xr:uid="{F67407F7-8882-4217-9D19-8BC7DAE643B9}"/>
    <hyperlink ref="C829" r:id="rId305" xr:uid="{93B32F6E-3D21-4E63-B1E2-314CE06F8F42}"/>
    <hyperlink ref="C830" r:id="rId306" xr:uid="{4C945764-6570-4F18-9F23-E9F17DBE5F72}"/>
    <hyperlink ref="C831" r:id="rId307" xr:uid="{43A03A84-599D-4355-B59B-634A9B979B0E}"/>
    <hyperlink ref="C832" r:id="rId308" xr:uid="{019BF7B5-B5DA-402A-9C5D-070F2D802BB0}"/>
    <hyperlink ref="C833" r:id="rId309" xr:uid="{E360EDC3-22C9-4ECA-AB3F-3EB55242DFCC}"/>
    <hyperlink ref="C834" r:id="rId310" xr:uid="{851524AB-E4B5-4122-86FF-969AB5D49A8B}"/>
    <hyperlink ref="C835" r:id="rId311" xr:uid="{7ACF4CBA-060A-447B-BA3D-977B2B49F449}"/>
    <hyperlink ref="C836" r:id="rId312" xr:uid="{B9B8B0F3-38FF-432B-AA2F-B3A21F6BB2CA}"/>
    <hyperlink ref="C635" r:id="rId313" xr:uid="{CF491829-481C-4824-9BBE-9B478DB57668}"/>
    <hyperlink ref="C636" r:id="rId314" xr:uid="{7162043E-27F1-413A-BE87-194521526957}"/>
    <hyperlink ref="C637" r:id="rId315" xr:uid="{3E3C1859-8A79-4CDA-B253-E00F1DA6FE7F}"/>
    <hyperlink ref="C638" r:id="rId316" xr:uid="{25066815-2DE6-4A59-BBAE-5A073A9BC9D3}"/>
    <hyperlink ref="C639" r:id="rId317" xr:uid="{F1FA8DD7-7547-4E81-8843-1AACAE8E78A6}"/>
    <hyperlink ref="C812" r:id="rId318" xr:uid="{39B3B3D3-F353-451B-952D-48BCCABF7101}"/>
    <hyperlink ref="C813" r:id="rId319" xr:uid="{5346901C-5DC2-4368-B690-BD9AE2CD27D1}"/>
    <hyperlink ref="C814" r:id="rId320" xr:uid="{8F35B295-F2D3-42EF-9BA3-321E47F5CB3C}"/>
    <hyperlink ref="C815" r:id="rId321" xr:uid="{EF102321-98ED-4CD1-B681-AA2A01FE3E53}"/>
    <hyperlink ref="C816" r:id="rId322" xr:uid="{2C6F41EC-06ED-4D84-A79F-E2B043438B5D}"/>
    <hyperlink ref="C817" r:id="rId323" xr:uid="{D1B1C99D-73E9-4CF1-98E9-8E1420A2DE9D}"/>
    <hyperlink ref="C818" r:id="rId324" xr:uid="{71284891-4042-41C0-959F-8E5A7A5C8A23}"/>
    <hyperlink ref="C280" r:id="rId325" xr:uid="{AFB4C6CB-7FD1-4E4F-80D1-ED205364AE86}"/>
    <hyperlink ref="C281" r:id="rId326" xr:uid="{CCCB4A9E-19C6-4A55-9792-6577DC6DF5B0}"/>
    <hyperlink ref="C282" r:id="rId327" xr:uid="{56CF9996-1A13-4CF7-ACB1-0316541E5D3F}"/>
    <hyperlink ref="C283" r:id="rId328" xr:uid="{18749B23-A35C-4DC4-AF29-36F74C9AF33D}"/>
    <hyperlink ref="C284" r:id="rId329" xr:uid="{43532C62-E638-4B6F-8A1B-8768BAAD4B8F}"/>
    <hyperlink ref="C285" r:id="rId330" xr:uid="{728152A3-268F-46ED-BE90-7C74DDFF2CC3}"/>
    <hyperlink ref="C286" r:id="rId331" xr:uid="{9F434D12-809A-438E-827F-798778D26072}"/>
    <hyperlink ref="C662" r:id="rId332" xr:uid="{62FABE0F-2EFB-4777-A401-2C53D5E9E3A0}"/>
    <hyperlink ref="C649" r:id="rId333" xr:uid="{EF085113-49EE-4556-93A5-D465B5153054}"/>
    <hyperlink ref="C650" r:id="rId334" xr:uid="{2F84ECE8-BBB4-49B1-8254-8806DAD71C6E}"/>
    <hyperlink ref="C651" r:id="rId335" xr:uid="{90C5DD73-A96A-4028-988B-81C15D936B0A}"/>
    <hyperlink ref="C652" r:id="rId336" xr:uid="{CC0ACB61-5CE9-49E6-9A69-E998C35221B7}"/>
    <hyperlink ref="C653" r:id="rId337" xr:uid="{5B4BA471-8D09-4AF6-9283-3EE088612EA4}"/>
    <hyperlink ref="C654" r:id="rId338" xr:uid="{0F1AE29A-F5E3-4A97-9066-F3765DCBD403}"/>
    <hyperlink ref="C655" r:id="rId339" xr:uid="{7865C97F-808D-46F3-93AB-70B2DB69AB9D}"/>
    <hyperlink ref="C672" r:id="rId340" xr:uid="{6E6AF34A-7845-45C8-A12C-DD71F752E731}"/>
    <hyperlink ref="C681" r:id="rId341" xr:uid="{0F7895F9-D990-4237-8C78-FA258C75974E}"/>
    <hyperlink ref="C683" r:id="rId342" xr:uid="{966482EB-5FC6-46B6-92E7-42EC9FFD26D4}"/>
    <hyperlink ref="C159" r:id="rId343" xr:uid="{DD7AE59B-22C1-42D1-B4A2-5D6436236165}"/>
    <hyperlink ref="C169" r:id="rId344" xr:uid="{362ACB0E-CC29-43D1-9791-1444EAFAEEF2}"/>
    <hyperlink ref="C737" r:id="rId345" xr:uid="{9F1988BF-599C-42E4-8DD2-950D93C813E9}"/>
    <hyperlink ref="C123" r:id="rId346" xr:uid="{F0583C0D-8723-40A5-A703-B54901AAF3CE}"/>
    <hyperlink ref="C839" r:id="rId347" xr:uid="{97F9ABAF-0469-4C45-9C46-313B0D4BCA89}"/>
    <hyperlink ref="C840" r:id="rId348" xr:uid="{9667A777-F83C-4D8D-8058-390C948464C5}"/>
    <hyperlink ref="C837" r:id="rId349" xr:uid="{9E81FA94-EA43-4743-80CC-104B795A72A8}"/>
    <hyperlink ref="C838" r:id="rId350" xr:uid="{2D1268DC-3BC7-4AEC-9FBC-5F2708816DE2}"/>
    <hyperlink ref="C841" r:id="rId351" xr:uid="{D95C2433-BF0E-45DE-A7EF-EF188E49CE9A}"/>
    <hyperlink ref="C842" r:id="rId352" xr:uid="{730D72AF-D61D-48D9-8643-0310AF487916}"/>
    <hyperlink ref="C843" r:id="rId353" xr:uid="{458D6BB2-FE5C-4990-95AE-9D2BC189CECB}"/>
    <hyperlink ref="C849" r:id="rId354" xr:uid="{B84929CC-FC09-46F7-BADF-7A78EF3B3A77}"/>
    <hyperlink ref="C848" r:id="rId355" xr:uid="{0AF08FD1-4BC9-4A2D-A1AB-DC92B5E68566}"/>
    <hyperlink ref="C850" r:id="rId356" xr:uid="{FAAEAF04-E92F-4ACB-A1E8-2B45C3BC9808}"/>
    <hyperlink ref="C851" r:id="rId357" xr:uid="{BEFD3916-6600-4065-9AE8-E41B3FBF3E81}"/>
    <hyperlink ref="C847" r:id="rId358" xr:uid="{4045EA73-E480-4F74-B1F4-C6C8528B0AA2}"/>
    <hyperlink ref="C858" r:id="rId359" xr:uid="{0823B048-BCE7-403E-9426-C98B113B88B3}"/>
    <hyperlink ref="C860" r:id="rId360" xr:uid="{98FE6912-F77E-43E7-BBDF-46B162935293}"/>
    <hyperlink ref="C859" r:id="rId361" xr:uid="{8B7F028D-3F04-47A9-AB77-FD998AB7A318}"/>
    <hyperlink ref="C871" r:id="rId362" xr:uid="{7F9F8868-779D-4FB4-BE10-83FC78385AC1}"/>
    <hyperlink ref="C875" r:id="rId363" xr:uid="{040395EB-4E4C-4AAE-80F2-46C2EA722A83}"/>
    <hyperlink ref="C876" r:id="rId364" xr:uid="{A383703F-EF7D-4364-8B01-481B800F51CE}"/>
    <hyperlink ref="C873" r:id="rId365" xr:uid="{AD4EDF4C-40D6-497A-A5F6-3B47D716F2E6}"/>
    <hyperlink ref="C878" r:id="rId366" xr:uid="{CABA84BA-753E-4C1E-B4C6-9CAAE82981CE}"/>
    <hyperlink ref="C877" r:id="rId367" xr:uid="{EFF59F62-09F4-4C26-BA89-38C128D3CF68}"/>
    <hyperlink ref="C879" r:id="rId368" xr:uid="{283593E6-8366-4338-A7B6-9832DA5481F2}"/>
    <hyperlink ref="C881" r:id="rId369" xr:uid="{6775B53F-48B9-4456-BED4-9E6F6786EC6A}"/>
    <hyperlink ref="C882" r:id="rId370" xr:uid="{9330908B-8706-4F0E-8858-B898BFA9C072}"/>
    <hyperlink ref="C883" r:id="rId371" xr:uid="{735AAF43-EC06-4154-A21E-5CB634C10420}"/>
    <hyperlink ref="C884" r:id="rId372" xr:uid="{EA58191E-3ED9-4721-B9F5-34F6FC1C30AA}"/>
    <hyperlink ref="C880" r:id="rId373" xr:uid="{59AB7C24-D6AA-447D-A90D-BEE38AB08369}"/>
    <hyperlink ref="C891" r:id="rId374" xr:uid="{4CBC7968-3C61-4136-8F44-50A5975D7AE3}"/>
    <hyperlink ref="C894" r:id="rId375" xr:uid="{E722FAAF-4DAD-4076-B09D-3EB859BEB37E}"/>
    <hyperlink ref="C890" r:id="rId376" xr:uid="{6274B9CB-5663-4328-BE79-B78A784E08D6}"/>
    <hyperlink ref="C887" r:id="rId377" xr:uid="{44CB7A66-1F2C-4E13-93EF-9ED3273DEE74}"/>
    <hyperlink ref="C888" r:id="rId378" xr:uid="{468FBA1C-2D8A-4A14-A6DD-97CCD1C3E5E1}"/>
    <hyperlink ref="C897" r:id="rId379" xr:uid="{183C8B3F-7201-48E6-B521-B9B2B4196D7A}"/>
    <hyperlink ref="C906" r:id="rId380" xr:uid="{4972BC15-F8A2-44F5-9331-B0CA3DAB4CA6}"/>
    <hyperlink ref="C907" r:id="rId381" xr:uid="{4FDE5969-55C5-4414-B1EE-426236FE9560}"/>
    <hyperlink ref="C910" r:id="rId382" xr:uid="{CE784D1B-7970-493D-B863-B4AAD2738D83}"/>
    <hyperlink ref="C911" r:id="rId383" xr:uid="{8A885D8A-08AD-4F6C-BF5A-91EA0DB32876}"/>
    <hyperlink ref="C919" r:id="rId384" xr:uid="{A39A85C0-78FE-4104-A7A9-E59FD3F91CD2}"/>
    <hyperlink ref="C920" r:id="rId385" xr:uid="{317E140C-8A40-43E7-BDEE-511FA0279352}"/>
    <hyperlink ref="C918" r:id="rId386" xr:uid="{8690DD61-D78F-4B63-BACF-0C704B2FC53A}"/>
    <hyperlink ref="C914" r:id="rId387" xr:uid="{AA032134-EFA8-4C36-BF23-D8F97490666A}"/>
    <hyperlink ref="C913" r:id="rId388" xr:uid="{BAB00414-378C-45F2-A36D-5CA57CC7A553}"/>
    <hyperlink ref="C912" r:id="rId389" xr:uid="{8ED9F612-9923-40B3-9636-2FB0B52352D8}"/>
    <hyperlink ref="C922" r:id="rId390" xr:uid="{9276C5C2-C703-4618-8222-04CD60076EC9}"/>
    <hyperlink ref="C923" r:id="rId391" xr:uid="{C5577190-7878-4309-AFEA-24EDB012F751}"/>
    <hyperlink ref="C925" r:id="rId392" xr:uid="{DEDD7008-54FC-4326-BEC1-C3101C2F1464}"/>
    <hyperlink ref="C927" r:id="rId393" xr:uid="{8907B035-2A22-4FF3-B3DA-2134F104D1DB}"/>
    <hyperlink ref="C928" r:id="rId394" xr:uid="{F391DB64-02D5-4954-AAAF-10BD78863217}"/>
    <hyperlink ref="C926" r:id="rId395" xr:uid="{063C71D9-B690-4138-981B-0E8B2C5B13E7}"/>
    <hyperlink ref="C929" r:id="rId396" xr:uid="{0D492EBC-8E65-49DF-8D2B-0E44A00EC63B}"/>
    <hyperlink ref="C300" r:id="rId397" xr:uid="{D3A2731D-2949-44CA-A113-4A27D2ECDB0C}"/>
    <hyperlink ref="C301" r:id="rId398" xr:uid="{5CBF64EF-0BBF-44BF-869B-00E3469EC42E}"/>
    <hyperlink ref="C298" r:id="rId399" xr:uid="{E0BB37F1-B8F5-4B04-88CC-162DDA84C0B0}"/>
    <hyperlink ref="C299" r:id="rId400" xr:uid="{0D5DE7ED-C6D4-49F4-B0DD-82CF1C6D4839}"/>
    <hyperlink ref="C304" r:id="rId401" xr:uid="{8A750BF5-DE92-436D-8014-E7EA2C078138}"/>
    <hyperlink ref="C305" r:id="rId402" xr:uid="{5D0DEC66-31BC-4F74-8659-4A43B9B74DC9}"/>
    <hyperlink ref="C306" r:id="rId403" xr:uid="{53945A9B-A28F-4E57-9868-ECEBF5A401C9}"/>
    <hyperlink ref="C314" r:id="rId404" xr:uid="{68BB2C23-905F-4FEF-9646-DF8AAFF41B48}"/>
    <hyperlink ref="C313" r:id="rId405" xr:uid="{2A72D757-D0E0-4175-9010-8D7AEF3091A7}"/>
    <hyperlink ref="C315" r:id="rId406" xr:uid="{2F5786E5-2D6B-4668-A96E-16567CFB9275}"/>
    <hyperlink ref="C316" r:id="rId407" xr:uid="{55740808-7870-48EB-8006-36DFDE06506A}"/>
    <hyperlink ref="C312" r:id="rId408" xr:uid="{A2F97515-C011-4313-A45C-D9BDA8C8379E}"/>
    <hyperlink ref="C328" r:id="rId409" xr:uid="{25180C42-CB37-4906-8490-9744FC8EC3E1}"/>
    <hyperlink ref="C327" r:id="rId410" xr:uid="{31DA6088-F9DB-42F5-8E4F-871F0B57BC6E}"/>
    <hyperlink ref="C341" r:id="rId411" xr:uid="{0375AFED-0889-401B-B2E4-10864484AE2B}"/>
    <hyperlink ref="C347" r:id="rId412" xr:uid="{35934E78-477D-4F7C-9A32-C117FD33FC2B}"/>
    <hyperlink ref="C348" r:id="rId413" xr:uid="{0E84DC80-A725-4120-9A74-2182D20D310F}"/>
    <hyperlink ref="C345" r:id="rId414" xr:uid="{79E03100-C475-47E2-957A-FB00F37F8711}"/>
    <hyperlink ref="C352" r:id="rId415" xr:uid="{1278676E-1F0C-4101-B7CC-FCF3BB3B1A81}"/>
    <hyperlink ref="C353" r:id="rId416" xr:uid="{06BC73B3-9829-4434-9FEB-E62CD6FF7999}"/>
    <hyperlink ref="C351" r:id="rId417" xr:uid="{05601FC6-83BD-4B4D-AA5E-C5ECF2AD93B8}"/>
    <hyperlink ref="C357" r:id="rId418" xr:uid="{A4286FA4-C0A2-43F9-B5DF-625E4CA614B1}"/>
    <hyperlink ref="C358" r:id="rId419" xr:uid="{9CC59945-AF12-4A1B-B09F-CE7BA81BA954}"/>
    <hyperlink ref="C359" r:id="rId420" xr:uid="{A5FCB2B6-2313-454B-B3EF-7FC1B41EDE9D}"/>
    <hyperlink ref="C360" r:id="rId421" xr:uid="{E9A7FE76-C401-4E40-A41F-F96613C4B4EA}"/>
    <hyperlink ref="C356" r:id="rId422" xr:uid="{5961E946-CB19-4DC5-BDA0-3226002F80CA}"/>
    <hyperlink ref="C369" r:id="rId423" xr:uid="{41264BD7-6F1D-4EC6-9B8A-FCC7746CC518}"/>
    <hyperlink ref="C372" r:id="rId424" xr:uid="{2F7EE40E-7A69-4C1B-BD6D-D757EAAE47FC}"/>
    <hyperlink ref="C368" r:id="rId425" xr:uid="{16FD73C2-8459-4722-881E-F50D5F51E293}"/>
    <hyperlink ref="C365" r:id="rId426" xr:uid="{4039426C-BCE2-4868-BD24-C12D72E0F9E8}"/>
    <hyperlink ref="C366" r:id="rId427" xr:uid="{6579EB6A-C4D7-4407-979F-1D8FB642418A}"/>
    <hyperlink ref="C375" r:id="rId428" xr:uid="{5BB96A70-7FF3-4978-A411-AD20AAABA6CF}"/>
    <hyperlink ref="C386" r:id="rId429" xr:uid="{E74D2457-0E3A-48E1-9C0C-38712E0BD5CC}"/>
    <hyperlink ref="C387" r:id="rId430" xr:uid="{CF987294-365F-4F61-A7A4-C23A798ADCDF}"/>
    <hyperlink ref="C392" r:id="rId431" xr:uid="{99507C97-B4CC-4DCA-BA8C-A9E422A53283}"/>
    <hyperlink ref="C393" r:id="rId432" xr:uid="{6E3B54E0-6F70-4886-8F96-05A79632E1CE}"/>
    <hyperlink ref="C397" r:id="rId433" xr:uid="{2CB73D14-CFC9-4CD2-AE98-60BF54464749}"/>
    <hyperlink ref="C396" r:id="rId434" xr:uid="{4502F4A1-9A9B-4F21-ACF7-F86DDEC1DCCF}"/>
    <hyperlink ref="C405" r:id="rId435" xr:uid="{A04353A6-42A4-466C-BE02-92B9F5FAAF9B}"/>
    <hyperlink ref="C406" r:id="rId436" xr:uid="{F79C7B26-DDE6-4180-97D9-D6A2C8795C63}"/>
    <hyperlink ref="C404" r:id="rId437" xr:uid="{9CC1B2BD-6332-49D7-8419-B9CF9E1DA9BC}"/>
    <hyperlink ref="C400" r:id="rId438" xr:uid="{0AE2BC39-AE50-416B-B4A7-D2FB07930663}"/>
    <hyperlink ref="C410" r:id="rId439" xr:uid="{E695BAAB-7E49-4E6A-9E3B-7FB8A3A9C6D2}"/>
    <hyperlink ref="C411" r:id="rId440" xr:uid="{DB63A62A-A2DF-4DDE-B269-D556391E0593}"/>
    <hyperlink ref="C413" r:id="rId441" xr:uid="{1ECA431E-9385-4D57-BEAE-121A7FD142B1}"/>
    <hyperlink ref="C415" r:id="rId442" xr:uid="{719FD127-4D55-4CA6-8101-E5C0EF13041A}"/>
    <hyperlink ref="C416" r:id="rId443" xr:uid="{95FEB3E2-B116-4A4D-BA72-9BFE327FB555}"/>
    <hyperlink ref="C414" r:id="rId444" xr:uid="{05E8F569-1DE8-4729-AF87-7880F509F61D}"/>
    <hyperlink ref="C417" r:id="rId445" xr:uid="{B1A260B5-1AED-42AC-863C-4C8EC8A20288}"/>
    <hyperlink ref="C930" r:id="rId446" xr:uid="{5E388FE0-7FEC-40C1-A801-7681AB67A17C}"/>
    <hyperlink ref="C931" r:id="rId447" xr:uid="{D5E8D0AF-22DB-45A3-A455-D79EA2260881}"/>
    <hyperlink ref="C932" r:id="rId448" xr:uid="{1715A070-9FD6-48F9-A5FE-D361254158C0}"/>
    <hyperlink ref="C933" r:id="rId449" xr:uid="{596FB5B9-D7C6-4954-949F-E345F3817611}"/>
    <hyperlink ref="C934" r:id="rId450" xr:uid="{3005C3BC-82A7-4931-A850-F9629F229B16}"/>
    <hyperlink ref="C935" r:id="rId451" xr:uid="{F0AD7B40-8E49-457F-B378-3FE98EE062C0}"/>
    <hyperlink ref="C936" r:id="rId452" xr:uid="{8FE4EF26-F1DC-4E2D-B1A5-82C3E7199E99}"/>
    <hyperlink ref="C937" r:id="rId453" xr:uid="{7467DF15-61F0-4634-8178-03F66454C31B}"/>
    <hyperlink ref="C938" r:id="rId454" xr:uid="{3A0FB415-DF48-4EC0-B0D6-A44A0105C816}"/>
    <hyperlink ref="C939" r:id="rId455" xr:uid="{75A9FA9D-42D2-47C3-8A3B-6EFD12ED7552}"/>
    <hyperlink ref="C940" r:id="rId456" xr:uid="{96D5F0C4-3709-48CF-B3BB-AD167F1B42C1}"/>
    <hyperlink ref="C941" r:id="rId457" xr:uid="{0666E163-35F4-4DDF-8DE6-8A2DB6411B7F}"/>
    <hyperlink ref="C942" r:id="rId458" xr:uid="{34D9CDE7-F270-4799-B9BC-5D592C2BCF49}"/>
    <hyperlink ref="C943" r:id="rId459" xr:uid="{028B591F-3EC6-4ACF-A65C-0B2DC2E7F370}"/>
    <hyperlink ref="C944" r:id="rId460" xr:uid="{5D4073BC-6C95-4B2D-B9AF-FF5ADCA67A98}"/>
    <hyperlink ref="C948" r:id="rId461" xr:uid="{2555BEB6-45E5-4643-A502-2EEDC9A7EA2A}"/>
    <hyperlink ref="C949" r:id="rId462" xr:uid="{94E6F25C-F32F-4B22-B57A-A57AAABE2F22}"/>
    <hyperlink ref="C945" r:id="rId463" xr:uid="{B6DF4FCE-6531-41B7-8178-9FC05178152D}"/>
    <hyperlink ref="C947" r:id="rId464" xr:uid="{C9D600CE-8E96-401A-8A4D-FE2D7B80ABC5}"/>
    <hyperlink ref="C946" r:id="rId465" xr:uid="{DAF2825A-F108-4857-8F5D-2D76C5353219}"/>
    <hyperlink ref="C952" r:id="rId466" xr:uid="{E01A4795-79D4-4A66-B61E-7B7FBC2EBC7F}"/>
    <hyperlink ref="C953" r:id="rId467" xr:uid="{0092A127-C6CC-48BA-BA43-39A639EA6C1C}"/>
    <hyperlink ref="C954" r:id="rId468" xr:uid="{47D7686D-2A13-4F67-AE74-2A8D4A4E4BC7}"/>
    <hyperlink ref="C957" r:id="rId469" xr:uid="{0C5D5D3D-EBFB-46CC-8331-E95CD030C92A}"/>
    <hyperlink ref="C955" r:id="rId470" xr:uid="{6018F27E-B42B-40FA-82FE-FDEB64575B51}"/>
    <hyperlink ref="C956" r:id="rId471" xr:uid="{3F6698FD-B1D0-46CE-B10D-D5AF138DB8AE}"/>
    <hyperlink ref="C958" r:id="rId472" xr:uid="{8C2CFA1B-EC9E-4D04-B852-82E926DB89E5}"/>
    <hyperlink ref="C959" r:id="rId473" xr:uid="{592DBCD6-6DC1-4D6C-82B4-3DC30740B715}"/>
    <hyperlink ref="C960" r:id="rId474" xr:uid="{DBF23CA2-B03B-4F59-920C-72D2EEA01B06}"/>
    <hyperlink ref="C961" r:id="rId475" xr:uid="{8AEE3144-5D6E-4D6D-9A47-5E49605809BE}"/>
    <hyperlink ref="C962" r:id="rId476" xr:uid="{475ED455-AEAF-4F8F-AB3F-77CC2E9065BF}"/>
    <hyperlink ref="C963" r:id="rId477" xr:uid="{B7D4D3C4-D355-42CC-87DE-A96D85ED3294}"/>
    <hyperlink ref="C964" r:id="rId478" xr:uid="{0F5C696C-BB89-4530-ABCE-A91A3FA04513}"/>
    <hyperlink ref="C965" r:id="rId479" xr:uid="{6E6AAFE5-D992-473C-A4CB-0BE335C400A3}"/>
    <hyperlink ref="C966" r:id="rId480" xr:uid="{65BA3DDF-2692-42A2-BBE3-88849E4DE5C8}"/>
    <hyperlink ref="C967" r:id="rId481" xr:uid="{79CC3AA0-971B-437F-BA1D-CBC9B8226BE9}"/>
    <hyperlink ref="C968" r:id="rId482" xr:uid="{873B4678-E0E3-4CB9-A3AB-EF51E8A5E83A}"/>
    <hyperlink ref="C969" r:id="rId483" xr:uid="{6285E298-EC11-466B-A49D-36F738E5D328}"/>
    <hyperlink ref="C970" r:id="rId484" xr:uid="{5CF00E9D-7E89-4C2C-B811-908A346071CF}"/>
    <hyperlink ref="C971" r:id="rId485" xr:uid="{E89B895F-5A19-4495-8E6C-0F97669D64C9}"/>
    <hyperlink ref="C972" r:id="rId486" xr:uid="{B8FD0F52-41A6-49F8-B007-0F3F891F4C60}"/>
    <hyperlink ref="C973" r:id="rId487" xr:uid="{4D83D283-BA34-4404-BDE7-E93C2B88BC53}"/>
    <hyperlink ref="C974" r:id="rId488" xr:uid="{EC8ADC8B-E638-4AE0-88A5-3DBBC8A8C7EB}"/>
    <hyperlink ref="C975" r:id="rId489" xr:uid="{CCE0AF72-ECF9-4DCA-990D-F0F0EB9833C1}"/>
    <hyperlink ref="C976" r:id="rId490" xr:uid="{B1565C92-0F60-4AC6-84A5-DF533DDAEF5F}"/>
    <hyperlink ref="C977" r:id="rId491" xr:uid="{716156CB-7976-4388-96BF-D2A89F1DBB31}"/>
    <hyperlink ref="C978" r:id="rId492" xr:uid="{74FAAF71-7DAB-4128-8D61-6D22CA2C4FE1}"/>
    <hyperlink ref="C979" r:id="rId493" xr:uid="{39E4C776-B99F-4BA6-A191-5363FB499816}"/>
    <hyperlink ref="C980" r:id="rId494" xr:uid="{2DC54FD5-FA10-4510-8213-ECF307F8D469}"/>
    <hyperlink ref="C981" r:id="rId495" xr:uid="{00533DC0-5E5C-4915-BF6E-C40B26F8F604}"/>
    <hyperlink ref="C982" r:id="rId496" xr:uid="{760DFA27-8277-463B-9FDC-3390BFDC8642}"/>
    <hyperlink ref="C983" r:id="rId497" xr:uid="{AACF6FE9-8462-472A-BE23-CCEB40F96D7A}"/>
    <hyperlink ref="C984" r:id="rId498" xr:uid="{47C84B51-C138-4700-88B2-F9F4E4D1B148}"/>
    <hyperlink ref="C985" r:id="rId499" xr:uid="{669BFF5A-8D2F-49C2-BE05-3EA350F6BC84}"/>
    <hyperlink ref="C986" r:id="rId500" xr:uid="{4E9DF075-E732-454D-A1B9-2272BB460DC2}"/>
    <hyperlink ref="C987" r:id="rId501" xr:uid="{B8C8F51D-2A5D-4B55-8315-F2168071413B}"/>
    <hyperlink ref="C988" r:id="rId502" xr:uid="{984E6382-0406-4A6C-8C59-A5B6DD3067E6}"/>
    <hyperlink ref="C989" r:id="rId503" xr:uid="{25436AAF-EDA5-4007-ABF3-6095A21ED0B5}"/>
    <hyperlink ref="C990" r:id="rId504" xr:uid="{1D8683A4-12D5-4474-A430-6C80EC24DB4E}"/>
    <hyperlink ref="C991" r:id="rId505" xr:uid="{15CE9860-9675-49C3-9F78-D932F02FFC93}"/>
    <hyperlink ref="C992" r:id="rId506" xr:uid="{DFF5CC01-9F18-420D-A86C-39BC5F901AA4}"/>
    <hyperlink ref="C993" r:id="rId507" xr:uid="{5A5011DC-2FEB-4A1F-A9E6-A15CA5E52E55}"/>
    <hyperlink ref="C994" r:id="rId508" xr:uid="{6CC963A7-5BB7-4272-9875-7CB2EB5BCFA7}"/>
    <hyperlink ref="C995" r:id="rId509" xr:uid="{6D22361F-25F7-4E39-8DAF-B391243B9FD3}"/>
    <hyperlink ref="C996" r:id="rId510" xr:uid="{087FA5BD-25B7-4CCF-955C-A6DC263D4E62}"/>
    <hyperlink ref="C997" r:id="rId511" xr:uid="{EE505A3E-A525-47C3-BD28-658D3318831F}"/>
    <hyperlink ref="C998" r:id="rId512" xr:uid="{CDF80A65-C9E6-4DC9-88BC-AFAB76E10B73}"/>
    <hyperlink ref="C999" r:id="rId513" xr:uid="{C8C41AC5-8BA7-49BA-81EC-9589A1D2E44B}"/>
    <hyperlink ref="C1000" r:id="rId514" xr:uid="{2673FBC0-623C-44E9-B9FD-D0E31FCFC2C4}"/>
    <hyperlink ref="C1001" r:id="rId515" xr:uid="{512706EA-B30C-453C-928B-2558CC637BBE}"/>
    <hyperlink ref="C1002" r:id="rId516" xr:uid="{B8D10190-63A7-4E9E-A0C7-E02FA216176E}"/>
    <hyperlink ref="C1003" r:id="rId517" xr:uid="{AEB43B62-CD23-429E-BB22-7356119DB778}"/>
    <hyperlink ref="C1004" r:id="rId518" xr:uid="{CC29D930-6D4A-4BE6-B017-C95DF9C4BE36}"/>
    <hyperlink ref="C1005" r:id="rId519" xr:uid="{19728531-C0E7-4823-AA00-658A8BE9E0ED}"/>
    <hyperlink ref="C1006" r:id="rId520" xr:uid="{6111FC5C-DA0A-4970-96AE-FD91AFF9146C}"/>
    <hyperlink ref="C1007" r:id="rId521" xr:uid="{710CA4D9-61D0-4A79-B9A8-124A8F55540E}"/>
    <hyperlink ref="C1008" r:id="rId522" xr:uid="{BE45031F-FDA9-473D-BEAE-2B7BF370AA4B}"/>
    <hyperlink ref="C1009" r:id="rId523" xr:uid="{EF532E60-ACE8-4908-9320-3BF37374777E}"/>
    <hyperlink ref="C1010" r:id="rId524" xr:uid="{DE9C2790-F7DF-4596-A845-4FE762411F98}"/>
    <hyperlink ref="C1011" r:id="rId525" xr:uid="{9669ED78-5B50-4D68-B990-3DD355C3823B}"/>
    <hyperlink ref="C1012" r:id="rId526" xr:uid="{79177F3D-C39C-469B-A194-100B7F1F195A}"/>
    <hyperlink ref="C1013" r:id="rId527" xr:uid="{3F3B9EB3-5BB8-46A9-BDA6-BE99B68C9494}"/>
    <hyperlink ref="C1014" r:id="rId528" xr:uid="{3CB05E5F-F95B-449E-953C-A8396B659B59}"/>
    <hyperlink ref="C1015" r:id="rId529" xr:uid="{628E3D65-82DF-4ECE-9F0C-24EC9DC1AF72}"/>
    <hyperlink ref="C1018" r:id="rId530" xr:uid="{39BD37E4-C3FC-4356-A64D-29502698074C}"/>
    <hyperlink ref="C1019" r:id="rId531" xr:uid="{3349DD50-6B23-477C-B5D5-0940CC497D93}"/>
    <hyperlink ref="C1020" r:id="rId532" xr:uid="{0ADF1D7C-A732-4B9A-A945-CA119F691852}"/>
    <hyperlink ref="C1021" r:id="rId533" xr:uid="{6D48CE60-2063-49E5-AB0D-526A4B75550E}"/>
    <hyperlink ref="C1023" r:id="rId534" xr:uid="{C09B0CE4-2F81-4B9D-AB71-8E9345A923EE}"/>
    <hyperlink ref="C1024" r:id="rId535" xr:uid="{AAE95E85-6836-47C1-B126-36E9F871DEA3}"/>
    <hyperlink ref="C1025" r:id="rId536" xr:uid="{53A07A5C-4333-4B8D-97BE-A37D81254FCC}"/>
    <hyperlink ref="C1026" r:id="rId537" xr:uid="{768FE467-42CB-4BDE-AAD4-6422F5B0DFBE}"/>
    <hyperlink ref="C1027" r:id="rId538" xr:uid="{D9D24181-890F-4B68-A3B7-2B2A6DE8244D}"/>
    <hyperlink ref="C1028" r:id="rId539" xr:uid="{8EEF196A-A6D8-4F63-AE25-179DB9C14232}"/>
    <hyperlink ref="C1029" r:id="rId540" xr:uid="{5ED256AB-A8C7-4D01-B36A-3C5BD5A5D71F}"/>
    <hyperlink ref="C1030" r:id="rId541" xr:uid="{861F11E5-1790-430B-97EA-2B096D94875A}"/>
    <hyperlink ref="C1031" r:id="rId542" xr:uid="{F875ED4B-EA7C-4EB2-A9B9-257997A1D436}"/>
    <hyperlink ref="C1032" r:id="rId543" xr:uid="{811E4592-D3F3-48A8-8D80-562624DCA9ED}"/>
    <hyperlink ref="C1033" r:id="rId544" xr:uid="{10D3DD80-0DEC-4CE5-9370-77840FFEAA8D}"/>
    <hyperlink ref="C1034" r:id="rId545" xr:uid="{9A3FBD1E-0F42-420E-BE09-DBAA657C85F0}"/>
    <hyperlink ref="C1035" r:id="rId546" xr:uid="{F49AA68E-7B40-491B-B222-0170F8569115}"/>
    <hyperlink ref="C1036" r:id="rId547" xr:uid="{B97B9742-3774-44FB-96EE-11BB072A066F}"/>
    <hyperlink ref="C1037" r:id="rId548" xr:uid="{FCB9AE4A-F009-492E-A3B2-2CFDEC7665EE}"/>
    <hyperlink ref="C1038" r:id="rId549" xr:uid="{0B35175B-D5A4-4461-87DA-F80A18D44DD5}"/>
    <hyperlink ref="C1039" r:id="rId550" xr:uid="{EA1EF352-7185-40CC-9E13-B3BE15983324}"/>
    <hyperlink ref="C1040" r:id="rId551" xr:uid="{6375A8BF-27FA-41FB-8030-285FAB46848F}"/>
    <hyperlink ref="C1042" r:id="rId552" xr:uid="{7C6C1651-3FF5-4BBF-8A09-6B55DDC37280}"/>
    <hyperlink ref="C1041" r:id="rId553" xr:uid="{EAC57F26-284B-46E1-B1B6-F984C51B4978}"/>
    <hyperlink ref="C1043" r:id="rId554" xr:uid="{71F52652-440F-4C19-BCA2-9391FF24A21A}"/>
    <hyperlink ref="C1044" r:id="rId555" xr:uid="{3E796392-947E-4BE8-AC03-810A51630CD4}"/>
    <hyperlink ref="C1045" r:id="rId556" xr:uid="{027AF50E-7DCE-43FC-9FAD-B09E3352880E}"/>
    <hyperlink ref="C1046" r:id="rId557" xr:uid="{81418CF5-FC3C-4153-BDD2-F5549E8D4E50}"/>
    <hyperlink ref="C1047" r:id="rId558" xr:uid="{3521E56B-5F0A-4BC1-97C4-03404F25B11D}"/>
    <hyperlink ref="C1048" r:id="rId559" xr:uid="{1CF78656-9958-486B-84F9-99736B17A9A0}"/>
    <hyperlink ref="C1049" r:id="rId560" xr:uid="{AD463DA7-5815-4F95-A5F8-6277D696F96D}"/>
    <hyperlink ref="C1050" r:id="rId561" xr:uid="{662802EF-9945-40C2-A9EA-26564F0CDB7B}"/>
    <hyperlink ref="C1051" r:id="rId562" xr:uid="{C2BDDF25-6C21-4808-8483-D30CFD57ADB0}"/>
    <hyperlink ref="C1052" r:id="rId563" xr:uid="{14B100F2-2E0A-4FEB-9F1B-32029652CE74}"/>
    <hyperlink ref="C1053" r:id="rId564" xr:uid="{259FCAB2-4CDC-423C-8206-3950F1FDABB5}"/>
    <hyperlink ref="C1054" r:id="rId565" xr:uid="{3AC8A148-7EA9-4F95-BC04-BF8E7C686C29}"/>
    <hyperlink ref="C1055" r:id="rId566" xr:uid="{2743060B-EAEF-43AC-A6C3-5A8C687FEAE9}"/>
    <hyperlink ref="C1056" r:id="rId567" xr:uid="{DADBC75C-98D4-4DA5-A011-97A832E3F19F}"/>
    <hyperlink ref="C1057" r:id="rId568" xr:uid="{1A72B35C-7D59-4277-B348-64EBC6A55EFC}"/>
    <hyperlink ref="C1058" r:id="rId569" xr:uid="{E95089F5-B1AD-446B-9338-F58DC73AE76E}"/>
    <hyperlink ref="C421" r:id="rId570" xr:uid="{F58E4205-EAC2-4978-903A-9250C82E116F}"/>
    <hyperlink ref="C422" r:id="rId571" xr:uid="{7FA5A52E-F0D9-4792-9061-5A1EC7B09F63}"/>
    <hyperlink ref="C426" r:id="rId572" xr:uid="{3AB42DFB-90DD-48FD-9F42-534312C72086}"/>
    <hyperlink ref="C427" r:id="rId573" xr:uid="{AA3F8308-2D10-4841-A8DB-63EDE5E504B6}"/>
    <hyperlink ref="C428" r:id="rId574" xr:uid="{08182ABA-7C16-4552-9C6E-CD61707874E8}"/>
    <hyperlink ref="C435" r:id="rId575" xr:uid="{3D5C47F0-E9D8-4887-877C-7A01BB8CB33F}"/>
    <hyperlink ref="C434" r:id="rId576" xr:uid="{0BF05D9C-F08A-4798-9C83-3CD3B3F829C2}"/>
    <hyperlink ref="C433" r:id="rId577" xr:uid="{DBB21F62-F9A4-4E9F-9BE1-2BCD6E7093A1}"/>
    <hyperlink ref="C432" r:id="rId578" xr:uid="{60D8B203-6ACA-4140-B365-BC87D260300F}"/>
    <hyperlink ref="C431" r:id="rId579" xr:uid="{87B3825B-C54D-4A69-8038-9EE09D748BB8}"/>
    <hyperlink ref="C436" r:id="rId580" xr:uid="{9BC9A0C2-AC04-49AC-96D3-52E3BFA5DD4E}"/>
    <hyperlink ref="C437" r:id="rId581" xr:uid="{64E77A3A-FE7A-495D-9104-1F304C6D7DF1}"/>
    <hyperlink ref="C438" r:id="rId582" xr:uid="{7B121CD7-E9DB-4F29-8BE2-52C8D5A736E0}"/>
    <hyperlink ref="C439" r:id="rId583" xr:uid="{984103B7-2D16-4786-B303-BCC2AB4FBC5E}"/>
    <hyperlink ref="C440" r:id="rId584" xr:uid="{746D4EA6-BDDE-4BC8-B698-85654EBE00A4}"/>
    <hyperlink ref="C444" r:id="rId585" xr:uid="{06C50DF8-8FF7-468C-BE6D-8AC5761821AE}"/>
    <hyperlink ref="C445" r:id="rId586" xr:uid="{A661EE29-4EE1-4B80-A454-7A964B17424B}"/>
    <hyperlink ref="C441" r:id="rId587" xr:uid="{FACA0DE6-B753-4069-93BE-497EF27B7001}"/>
    <hyperlink ref="C443" r:id="rId588" xr:uid="{8D5DD8BB-B529-4913-BFAE-AA56A9BA3F46}"/>
    <hyperlink ref="C442" r:id="rId589" xr:uid="{2A3A715D-1CC3-414A-A750-DA6FD361F09D}"/>
    <hyperlink ref="C450" r:id="rId590" xr:uid="{0ED07E2D-B251-4240-8A9B-106FDB2079A4}"/>
    <hyperlink ref="C451" r:id="rId591" xr:uid="{587E5AD8-8575-4414-9E6A-571CA5E605A7}"/>
    <hyperlink ref="C452" r:id="rId592" xr:uid="{49B4AB93-537D-4E44-9BD7-48B7B3BE83E2}"/>
    <hyperlink ref="C455" r:id="rId593" xr:uid="{15BED715-FCFF-4ED8-BA49-B034549C04E2}"/>
    <hyperlink ref="C453" r:id="rId594" xr:uid="{45DFE8A4-3F9C-4E55-BB84-6D1E871BF3E9}"/>
    <hyperlink ref="C454" r:id="rId595" xr:uid="{DFD647C3-5E3E-4B7D-AB0F-B3240CF9BE51}"/>
    <hyperlink ref="C458" r:id="rId596" xr:uid="{FF805AC2-3234-4877-90EF-32AF49805829}"/>
    <hyperlink ref="C459" r:id="rId597" xr:uid="{6F79C74F-40A8-48EC-9CA6-BA445B6C14D8}"/>
    <hyperlink ref="C460" r:id="rId598" xr:uid="{EFA57965-D50E-4885-8BBA-1823ED02AE05}"/>
    <hyperlink ref="C461" r:id="rId599" xr:uid="{4612FB19-9104-4347-B9A9-B44DDE0CB5C4}"/>
    <hyperlink ref="C462" r:id="rId600" xr:uid="{BE78BA70-A7B7-459E-A93E-14C367921698}"/>
    <hyperlink ref="C465" r:id="rId601" xr:uid="{699F2424-7311-4063-9615-9C83A5DB0CD2}"/>
    <hyperlink ref="C466" r:id="rId602" xr:uid="{39558640-4FA7-426F-96A2-F7A30DC0AD47}"/>
    <hyperlink ref="C467" r:id="rId603" xr:uid="{B45C396B-659C-4CD9-9AD4-39DB8040B5B3}"/>
    <hyperlink ref="C468" r:id="rId604" xr:uid="{8625DCC4-CA62-43F0-B177-315883145B42}"/>
    <hyperlink ref="C469" r:id="rId605" xr:uid="{098670E7-2BBF-4909-AA89-06C4D342F89B}"/>
    <hyperlink ref="C470" r:id="rId606" xr:uid="{59373D25-C5D0-468A-A0E9-CB9C163EE495}"/>
    <hyperlink ref="C471" r:id="rId607" xr:uid="{162E9BCA-28BF-430D-A53E-3970C31846BF}"/>
    <hyperlink ref="C472" r:id="rId608" xr:uid="{5B3A7E37-A13F-44E8-9EC7-AD70268E5378}"/>
    <hyperlink ref="C473" r:id="rId609" xr:uid="{EC2E6F83-A8D2-4869-8855-17B8B9D05A97}"/>
    <hyperlink ref="C474" r:id="rId610" xr:uid="{554C6FA4-0E26-418B-AA1D-A6C27164CF50}"/>
    <hyperlink ref="C475" r:id="rId611" xr:uid="{5F2AD278-1871-4594-AF1C-3571AAECE1BF}"/>
    <hyperlink ref="C476" r:id="rId612" xr:uid="{3FD9EF0E-2682-4785-9766-97C9DDE7ED93}"/>
    <hyperlink ref="C477" r:id="rId613" xr:uid="{78A23405-447D-4AF5-9562-52DBA5862E39}"/>
    <hyperlink ref="C478" r:id="rId614" xr:uid="{1D750C44-E66B-43C0-B874-D4FDE79C8497}"/>
    <hyperlink ref="C481" r:id="rId615" xr:uid="{262654AF-262B-455D-9569-1BA55A5DAD33}"/>
    <hyperlink ref="C482" r:id="rId616" xr:uid="{36DF33A1-891A-4DB7-8627-BE23B20AF9D4}"/>
    <hyperlink ref="C483" r:id="rId617" xr:uid="{3982A2DD-F9A5-4C1C-BB5E-99F24ABB64F6}"/>
    <hyperlink ref="C484" r:id="rId618" xr:uid="{94E006D7-EC6B-4C85-99E3-2F8A1CEF4E8D}"/>
    <hyperlink ref="C485" r:id="rId619" xr:uid="{5FBFB116-E564-419D-B171-99C3063DA5F6}"/>
    <hyperlink ref="C486" r:id="rId620" xr:uid="{9C43A9B4-B474-47DF-986F-834D79A0CA28}"/>
    <hyperlink ref="C487" r:id="rId621" xr:uid="{046E7981-F32B-4863-9371-BC1D6CB86410}"/>
    <hyperlink ref="C488" r:id="rId622" xr:uid="{81105B03-A25F-4622-B43E-747B8D5BB45C}"/>
    <hyperlink ref="C489" r:id="rId623" xr:uid="{BBD740FC-854E-4430-9ECF-7B460A973784}"/>
    <hyperlink ref="C492" r:id="rId624" xr:uid="{82D5FA2F-2BA3-4E6B-9833-9E637032C8F2}"/>
    <hyperlink ref="C493" r:id="rId625" xr:uid="{5D92CF99-879D-446F-A7AB-B9A80B9D3F4C}"/>
    <hyperlink ref="C494" r:id="rId626" xr:uid="{A7F535FF-9129-4198-BEAC-27FD37457964}"/>
    <hyperlink ref="C495" r:id="rId627" xr:uid="{396853F2-91D0-4F57-93F1-6B2E828B82D0}"/>
    <hyperlink ref="C498" r:id="rId628" xr:uid="{4BB86128-F55F-46D1-90C2-2EEE6A29D530}"/>
    <hyperlink ref="C499" r:id="rId629" xr:uid="{1DBAB872-C55B-4B1B-BC28-F1040384F71C}"/>
    <hyperlink ref="C500" r:id="rId630" xr:uid="{D67E1032-4C15-40B3-8145-7999CD35E3EA}"/>
    <hyperlink ref="C501" r:id="rId631" xr:uid="{CE21EC37-A115-467F-99C7-AB304439CEFC}"/>
    <hyperlink ref="C502" r:id="rId632" xr:uid="{2F2FF486-42C6-41AF-85B7-DB059A0CD7A7}"/>
    <hyperlink ref="C503" r:id="rId633" xr:uid="{C7148E7D-BB33-451B-8038-58467EAA875B}"/>
    <hyperlink ref="C504" r:id="rId634" xr:uid="{D4B0CB8A-66D4-4910-B183-53072D879FAC}"/>
    <hyperlink ref="C507" r:id="rId635" xr:uid="{1E6888DC-65A7-4CDC-99FE-78C716A25BD2}"/>
    <hyperlink ref="C508" r:id="rId636" xr:uid="{B3A1006C-C9D7-4F42-BE52-FFB808AC90D3}"/>
    <hyperlink ref="C509" r:id="rId637" xr:uid="{A4AC21D5-0B48-4931-A309-2F30356DAEBB}"/>
    <hyperlink ref="C510" r:id="rId638" xr:uid="{66BB117B-CB58-48A1-922F-CCB96ECA3ADE}"/>
    <hyperlink ref="C511" r:id="rId639" xr:uid="{82038359-6DE5-4A82-8311-B7126A1CEE98}"/>
    <hyperlink ref="C512" r:id="rId640" xr:uid="{C33CA3FE-84B8-43E1-832A-D5AA06B0D9C8}"/>
    <hyperlink ref="C513" r:id="rId641" xr:uid="{9409B537-4A7D-4252-AD8D-52D7BBA6C3CE}"/>
    <hyperlink ref="C514" r:id="rId642" xr:uid="{09D3AF18-FBDD-4983-ABCF-3833A561C51F}"/>
    <hyperlink ref="C515" r:id="rId643" xr:uid="{AE6F5A9F-EF27-4D9E-8B6B-1A2F7B707C06}"/>
    <hyperlink ref="C516" r:id="rId644" xr:uid="{4FF259D9-27C0-4FE3-AB7A-3A036008B9B9}"/>
    <hyperlink ref="C517" r:id="rId645" xr:uid="{2BD08FA1-8BD6-4FC5-ACC1-B8CCC5115195}"/>
    <hyperlink ref="C518" r:id="rId646" xr:uid="{FC0D77A5-9864-4D2C-BC8C-34233B48E36E}"/>
    <hyperlink ref="C519" r:id="rId647" xr:uid="{169A4B92-0042-4447-AB9B-97E3BFEF760F}"/>
    <hyperlink ref="C522" r:id="rId648" xr:uid="{0725E50D-E221-410C-889B-725CDB5F1B8B}"/>
    <hyperlink ref="C523" r:id="rId649" xr:uid="{CD7F34EF-D793-4E81-98AF-2D613B5D217B}"/>
    <hyperlink ref="C524" r:id="rId650" xr:uid="{3DC6CCC3-5AA3-4091-938C-5E243AC56882}"/>
    <hyperlink ref="C525" r:id="rId651" xr:uid="{5C9CE3B9-134C-49D3-8C32-05EC8DD9E10C}"/>
    <hyperlink ref="C526" r:id="rId652" xr:uid="{857B6659-95E0-4517-A6E4-D1BA6A04B9A5}"/>
    <hyperlink ref="C527" r:id="rId653" xr:uid="{F5D0E886-06B9-45C9-9BCB-FD7ABDC5DAE3}"/>
    <hyperlink ref="C532" r:id="rId654" xr:uid="{C325FAEE-9D06-4460-BF4E-3E9E0B89AA36}"/>
    <hyperlink ref="C533" r:id="rId655" xr:uid="{413D170F-287F-4C37-AE21-1A1359BAF2EE}"/>
    <hyperlink ref="C534" r:id="rId656" xr:uid="{EA20F3E1-910C-49FD-A99C-C25BD79E4EB2}"/>
    <hyperlink ref="C535" r:id="rId657" xr:uid="{FE75DCB3-6F91-47A4-AC2B-352AB71BA44D}"/>
    <hyperlink ref="C539" r:id="rId658" xr:uid="{8042A815-B53C-4B44-B010-0153B883BF03}"/>
    <hyperlink ref="C540" r:id="rId659" xr:uid="{304F1508-8D68-441E-ABF3-F7A65539A030}"/>
    <hyperlink ref="C541" r:id="rId660" xr:uid="{BF9141FE-618B-4D40-9DC4-C03EE066B4AF}"/>
    <hyperlink ref="C542" r:id="rId661" xr:uid="{86261303-E126-40A2-8A89-DB060B221F02}"/>
    <hyperlink ref="C543" r:id="rId662" xr:uid="{BDD7CBC3-17D9-4E61-9137-8902DA25FD97}"/>
    <hyperlink ref="C544" r:id="rId663" xr:uid="{17BA42B4-2F78-4212-A99C-9AE2A6AB40C1}"/>
    <hyperlink ref="C545" r:id="rId664" xr:uid="{297CFC2D-9B19-4B43-8223-9E9276B179E4}"/>
    <hyperlink ref="C548" r:id="rId665" xr:uid="{FDD5B9CF-AAC2-483C-B594-38751D63328A}"/>
    <hyperlink ref="C549" r:id="rId666" xr:uid="{A2B46D83-2C1F-446D-9927-C1F86EE7C54E}"/>
    <hyperlink ref="C550" r:id="rId667" xr:uid="{BD187BBA-3B16-44E7-B576-4923C8EFC766}"/>
    <hyperlink ref="C551" r:id="rId668" xr:uid="{72011219-919F-430E-ABAD-ED4D9C557344}"/>
    <hyperlink ref="C552" r:id="rId669" xr:uid="{6F749C1E-8DDA-476F-AC2F-1889031D4253}"/>
    <hyperlink ref="C553" r:id="rId670" xr:uid="{CF1926FE-7E7C-405E-85D7-EE3E38CC4F2D}"/>
    <hyperlink ref="C554" r:id="rId671" xr:uid="{CE9C841F-FDBD-4908-9FC1-EB932A99C4E7}"/>
    <hyperlink ref="C555" r:id="rId672" xr:uid="{90858934-4ED0-4087-80EF-C59513F48B7B}"/>
    <hyperlink ref="C556" r:id="rId673" xr:uid="{90CCCACF-77BA-43C8-916C-11FB5239E8BF}"/>
    <hyperlink ref="C557" r:id="rId674" xr:uid="{27818FD7-8E59-4ECA-9AC9-AC9C78226852}"/>
    <hyperlink ref="C558" r:id="rId675" xr:uid="{04AF87F9-F116-421D-A76A-965831136476}"/>
    <hyperlink ref="C560" r:id="rId676" xr:uid="{D41F7022-5AA1-4525-9A49-4EE9D66532C6}"/>
    <hyperlink ref="C559" r:id="rId677" xr:uid="{0E18BA39-4D35-4A73-A449-236C0EAFA267}"/>
    <hyperlink ref="C561" r:id="rId678" xr:uid="{FDC7384D-7835-464F-9E7B-4184BE8A2ABD}"/>
    <hyperlink ref="C564" r:id="rId679" xr:uid="{007E212D-3B21-48AD-8041-11EA6165BA4A}"/>
    <hyperlink ref="C565" r:id="rId680" xr:uid="{8ECEF277-FDA2-4C16-B309-D6FB5E3B9876}"/>
    <hyperlink ref="C566" r:id="rId681" xr:uid="{AADB3E8F-9598-4472-BBCF-2D90E887B31B}"/>
    <hyperlink ref="C567" r:id="rId682" xr:uid="{8ADF4437-F88E-46FC-B392-59302C32A773}"/>
    <hyperlink ref="C568" r:id="rId683" xr:uid="{D0BE9696-5B73-4345-9A4D-FB90415E4E38}"/>
    <hyperlink ref="C569" r:id="rId684" xr:uid="{4F2A2D04-9FD9-4E33-B075-75E98F0D240B}"/>
    <hyperlink ref="C570" r:id="rId685" xr:uid="{BDDB446A-1464-49C9-851D-454715291058}"/>
    <hyperlink ref="C573" r:id="rId686" xr:uid="{6D4C4C18-F9EF-4CE6-8DEC-1115441EA285}"/>
    <hyperlink ref="C574" r:id="rId687" xr:uid="{30185C43-173E-4A7F-B22B-B3E17811AF2E}"/>
    <hyperlink ref="C575" r:id="rId688" xr:uid="{B6C2F430-858E-4EBB-A863-5A90B2F69634}"/>
    <hyperlink ref="C576" r:id="rId689" xr:uid="{19989993-9E2D-478D-8734-99D080C0D785}"/>
    <hyperlink ref="C577" r:id="rId690" xr:uid="{3764DEF2-ABC6-4A47-B905-E856F6E4881B}"/>
    <hyperlink ref="C578" r:id="rId691" xr:uid="{5443677D-77F1-4A62-8FDC-1A9DC39148ED}"/>
    <hyperlink ref="C579" r:id="rId692" xr:uid="{3C8F98F7-8E3D-474F-8612-9A9F4840C798}"/>
  </hyperlinks>
  <pageMargins left="0.7" right="0.7" top="0.75" bottom="0.75" header="0.3" footer="0.3"/>
  <pageSetup orientation="portrait" r:id="rId693"/>
  <tableParts count="52">
    <tablePart r:id="rId694"/>
    <tablePart r:id="rId695"/>
    <tablePart r:id="rId696"/>
    <tablePart r:id="rId697"/>
    <tablePart r:id="rId698"/>
    <tablePart r:id="rId699"/>
    <tablePart r:id="rId700"/>
    <tablePart r:id="rId701"/>
    <tablePart r:id="rId702"/>
    <tablePart r:id="rId703"/>
    <tablePart r:id="rId704"/>
    <tablePart r:id="rId705"/>
    <tablePart r:id="rId706"/>
    <tablePart r:id="rId707"/>
    <tablePart r:id="rId708"/>
    <tablePart r:id="rId709"/>
    <tablePart r:id="rId710"/>
    <tablePart r:id="rId711"/>
    <tablePart r:id="rId712"/>
    <tablePart r:id="rId713"/>
    <tablePart r:id="rId714"/>
    <tablePart r:id="rId715"/>
    <tablePart r:id="rId716"/>
    <tablePart r:id="rId717"/>
    <tablePart r:id="rId718"/>
    <tablePart r:id="rId719"/>
    <tablePart r:id="rId720"/>
    <tablePart r:id="rId721"/>
    <tablePart r:id="rId722"/>
    <tablePart r:id="rId723"/>
    <tablePart r:id="rId724"/>
    <tablePart r:id="rId725"/>
    <tablePart r:id="rId726"/>
    <tablePart r:id="rId727"/>
    <tablePart r:id="rId728"/>
    <tablePart r:id="rId729"/>
    <tablePart r:id="rId730"/>
    <tablePart r:id="rId731"/>
    <tablePart r:id="rId732"/>
    <tablePart r:id="rId733"/>
    <tablePart r:id="rId734"/>
    <tablePart r:id="rId735"/>
    <tablePart r:id="rId736"/>
    <tablePart r:id="rId737"/>
    <tablePart r:id="rId738"/>
    <tablePart r:id="rId739"/>
    <tablePart r:id="rId740"/>
    <tablePart r:id="rId741"/>
    <tablePart r:id="rId742"/>
    <tablePart r:id="rId743"/>
    <tablePart r:id="rId744"/>
    <tablePart r:id="rId74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8E4071D57348C42A33A59A197CB8AA4" ma:contentTypeVersion="2" ma:contentTypeDescription="Create a new document." ma:contentTypeScope="" ma:versionID="db415037af85e2b4961098e5a631df2a">
  <xsd:schema xmlns:xsd="http://www.w3.org/2001/XMLSchema" xmlns:xs="http://www.w3.org/2001/XMLSchema" xmlns:p="http://schemas.microsoft.com/office/2006/metadata/properties" xmlns:ns3="e1a5b224-d4b7-4e88-8948-76a9821f961b" targetNamespace="http://schemas.microsoft.com/office/2006/metadata/properties" ma:root="true" ma:fieldsID="fc17df55ed7ca22c09f8772e5ba9523c" ns3:_="">
    <xsd:import namespace="e1a5b224-d4b7-4e88-8948-76a9821f961b"/>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a5b224-d4b7-4e88-8948-76a9821f96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1E7201-F868-454B-AE48-6CEF7369D859}">
  <ds:schemaRefs>
    <ds:schemaRef ds:uri="http://purl.org/dc/elements/1.1/"/>
    <ds:schemaRef ds:uri="http://purl.org/dc/terms/"/>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http://purl.org/dc/dcmitype/"/>
    <ds:schemaRef ds:uri="e1a5b224-d4b7-4e88-8948-76a9821f961b"/>
    <ds:schemaRef ds:uri="http://www.w3.org/XML/1998/namespace"/>
  </ds:schemaRefs>
</ds:datastoreItem>
</file>

<file path=customXml/itemProps2.xml><?xml version="1.0" encoding="utf-8"?>
<ds:datastoreItem xmlns:ds="http://schemas.openxmlformats.org/officeDocument/2006/customXml" ds:itemID="{EE45BBAE-DA72-4DB4-9724-24DEA273E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a5b224-d4b7-4e88-8948-76a9821f96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0FD9E8-3A9E-4496-8443-60E4333B18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Mesocycle 1</vt:lpstr>
      <vt:lpstr>قاعدة البيانات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Kuwait Petroleum International</dc:creator>
  <cp:lastModifiedBy>Mohammad Almarzouq</cp:lastModifiedBy>
  <dcterms:created xsi:type="dcterms:W3CDTF">2021-03-21T22:58:43Z</dcterms:created>
  <dcterms:modified xsi:type="dcterms:W3CDTF">2024-03-17T16:15:52Z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0x01010068E4071D57348C42A33A59A197CB8AA4</vt:lpwstr>
  </property>
</Properties>
</file>